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y_le_chi_phi" sheetId="1" r:id="rId5"/>
    <sheet state="visible" name="Dau_vao" sheetId="2" r:id="rId6"/>
    <sheet state="visible" name="Tinh_toan" sheetId="3" r:id="rId7"/>
    <sheet state="visible" name="So_sanh" sheetId="4" r:id="rId8"/>
    <sheet state="visible" name="Phuong_an_toi_uu"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Cong thuc: So ky thuat = FLOOR(Quy luong ky thuat du tinh/thang (B29) / Luong ky thuat/nguoi/thang (B14), 1).
Lay tron xuong de tong chi phi luong ky thuat truc tiep nam khong vuot 20% doanh thu (xem kiem tra B27:B32).</t>
      </text>
    </comment>
  </commentList>
</comments>
</file>

<file path=xl/sharedStrings.xml><?xml version="1.0" encoding="utf-8"?>
<sst xmlns="http://schemas.openxmlformats.org/spreadsheetml/2006/main" count="312" uniqueCount="235">
  <si>
    <t>BẢNG TRA TỰ ĐỘNG PHÍ TƯ VẤN - CÔNG TRÌNH DÂN DỤNG</t>
  </si>
  <si>
    <t>Nhập giá trị gói xây lắp tại B7, chi phí thiết bị nếu có tại B8, cấp công trình tại B9. Tỷ lệ được nội suy theo Phụ lục VIII kèm theo Thông tư 12/2021/TT-BXD.</t>
  </si>
  <si>
    <t>Nguồn: qlda.gxd.vn - Bảng 1.1, 2.5, 2.16, 2.21 của Phụ lục VIII TT 12/2021/TT-BXD.</t>
  </si>
  <si>
    <t>I. THÔNG SỐ ĐẦU VÀO</t>
  </si>
  <si>
    <t>Chỉ tiêu</t>
  </si>
  <si>
    <t>Giá trị</t>
  </si>
  <si>
    <t>Đơn vị</t>
  </si>
  <si>
    <t>Ghi chú</t>
  </si>
  <si>
    <t>Giá trị gói xây lắp</t>
  </si>
  <si>
    <t>VND</t>
  </si>
  <si>
    <t>Chi phí xây dựng chưa VAT</t>
  </si>
  <si>
    <t>Chi phí thiết bị (nếu có)</t>
  </si>
  <si>
    <t>Dùng cho QLDA theo chi phí xây dựng + thiết bị; mặc định 0</t>
  </si>
  <si>
    <t>Cấp công trình dân dụng</t>
  </si>
  <si>
    <t>Cấp III</t>
  </si>
  <si>
    <t>Nhập: Cấp đặc biệt, Cấp I, Cấp II, Cấp III, Cấp IV</t>
  </si>
  <si>
    <t>Tỷ lệ VAT đầu ra</t>
  </si>
  <si>
    <t>%</t>
  </si>
  <si>
    <t>Liên kết từ Dau_vao!B21</t>
  </si>
  <si>
    <t>Quy mô chi phí xây dựng</t>
  </si>
  <si>
    <t>tỷ đồng</t>
  </si>
  <si>
    <t>Dùng cho thiết kế, giám sát, thẩm tra thiết kế</t>
  </si>
  <si>
    <t>Quy mô chi phí xây dựng + thiết bị</t>
  </si>
  <si>
    <t>Dùng cho quản lý dự án</t>
  </si>
  <si>
    <t>II. BẢNG TÍNH CHI PHÍ TƯ VẤN</t>
  </si>
  <si>
    <t>Hạng mục</t>
  </si>
  <si>
    <t>Cơ sở tính</t>
  </si>
  <si>
    <t>Tỷ lệ định mức</t>
  </si>
  <si>
    <t>Chi phí chưa VAT</t>
  </si>
  <si>
    <t>VAT</t>
  </si>
  <si>
    <t>Tổng có VAT</t>
  </si>
  <si>
    <t>Nguồn/Ghi chú</t>
  </si>
  <si>
    <t>Tư vấn giám sát thi công xây dựng</t>
  </si>
  <si>
    <t>Bảng 2.21</t>
  </si>
  <si>
    <t>Tư vấn thiết kế BVTC 2 bước</t>
  </si>
  <si>
    <t>Bảng 2.5</t>
  </si>
  <si>
    <t>Quản lý dự án</t>
  </si>
  <si>
    <t>Bảng 1.1 - theo XD+TB</t>
  </si>
  <si>
    <t>Thẩm tra thiết kế xây dựng</t>
  </si>
  <si>
    <t>Bảng 2.16 - tối thiểu 2 triệu đồng</t>
  </si>
  <si>
    <t>Tổng cộng</t>
  </si>
  <si>
    <t>Tổng 4 hạng mục</t>
  </si>
  <si>
    <t>Tổng chưa VAT (triệu đồng)</t>
  </si>
  <si>
    <t>Cột D: chưa VAT; Cột F: có VAT</t>
  </si>
  <si>
    <t>III. BẢNG ĐỘ NHẠY THEO GIÁ TRỊ GÓI XÂY LẮP</t>
  </si>
  <si>
    <t>Giá trị XL</t>
  </si>
  <si>
    <t>Giám sát</t>
  </si>
  <si>
    <t>Thiết kế</t>
  </si>
  <si>
    <t>QLDA</t>
  </si>
  <si>
    <t>Thẩm tra TK</t>
  </si>
  <si>
    <t>Tổng chưa VAT</t>
  </si>
  <si>
    <t>IV. BẢNG 2.5 - TỶ LỆ THIẾT KẾ BVTC CÔNG TRÌNH DÂN DỤNG 2 BƯỚC</t>
  </si>
  <si>
    <t>Quy mô XL (tỷ đồng)</t>
  </si>
  <si>
    <t>Cấp đặc biệt</t>
  </si>
  <si>
    <t>Cấp I</t>
  </si>
  <si>
    <t>Cấp II</t>
  </si>
  <si>
    <t>Cấp IV</t>
  </si>
  <si>
    <t>-</t>
  </si>
  <si>
    <t>V. BẢNG 2.21 - TỶ LỆ GIÁM SÁT THI CÔNG XÂY DỰNG, CÔNG TRÌNH DÂN DỤNG</t>
  </si>
  <si>
    <t>Tỷ lệ giám sát (%)</t>
  </si>
  <si>
    <t>VI. BẢNG 1.1 - TỶ LỆ CHI PHÍ QUẢN LÝ DỰ ÁN, CÔNG TRÌNH DÂN DỤNG</t>
  </si>
  <si>
    <t>Quy mô XD+TB (tỷ đồng)</t>
  </si>
  <si>
    <t>Tỷ lệ QLDA (%)</t>
  </si>
  <si>
    <t>VII. BẢNG 2.16 - TỶ LỆ CHI PHÍ THẨM TRA THIẾT KẾ XÂY DỰNG, CÔNG TRÌNH DÂN DỤNG</t>
  </si>
  <si>
    <t>Tỷ lệ thẩm tra TK (%)</t>
  </si>
  <si>
    <t>GHI CHÚ</t>
  </si>
  <si>
    <t>- Các tỷ lệ trong bảng nguồn được nhập theo đơn vị phần trăm gốc; công thức kết quả chia 100 để tính thành số thập phân.</t>
  </si>
  <si>
    <t>- Quản lý dự án tính theo chi phí xây dựng + thiết bị chưa VAT. Nếu không có chi phí thiết bị, để B8 = 0.</t>
  </si>
  <si>
    <t>- Thẩm tra thiết kế xây dựng áp dụng mức tối thiểu 2.000.000 đồng theo ghi chú Bảng 2.16.</t>
  </si>
  <si>
    <t>- Nếu quy mô lớn hơn mốc lớn nhất của bảng, cần lập dự toán/kiểm tra theo quy định; sheet tạm dùng mốc cuối để tham khảo.</t>
  </si>
  <si>
    <t>- Phần thiết kế đang áp dụng Bảng 2.5: thiết kế bản vẽ thi công công trình dân dụng có yêu cầu thiết kế 2 bước.</t>
  </si>
  <si>
    <t>BẢNG 1 - ĐẦU VÀO</t>
  </si>
  <si>
    <t>Các ô màu vàng là đầu vào. Nhập giá trị chưa VAT trừ khi dòng ghi rõ là tỷ lệ.</t>
  </si>
  <si>
    <t>Thông số</t>
  </si>
  <si>
    <t>Giá trị xây lắp/năm</t>
  </si>
  <si>
    <t>Tỷ lệ phí tư vấn giám sát</t>
  </si>
  <si>
    <t>Tỷ lệ phí tư vấn thiết kế</t>
  </si>
  <si>
    <t>Tỷ lệ cắt lại cho chủ đầu tư - Hợp đồng loại 1</t>
  </si>
  <si>
    <t>Tỷ lệ cắt lại cho chủ đầu tư - Hợp đồng loại 2</t>
  </si>
  <si>
    <t>Thuế TNDN</t>
  </si>
  <si>
    <t>Tỷ lệ chi phí cố định được khấu trừ thuế</t>
  </si>
  <si>
    <t>Lương giám đốc/tháng</t>
  </si>
  <si>
    <t>Số kỹ thuật trực tiếp cho Loại 2</t>
  </si>
  <si>
    <t>Lương kỹ thuật trực tiếp/tháng</t>
  </si>
  <si>
    <t>Lương kế toán/tháng</t>
  </si>
  <si>
    <t>Thuê văn phòng/tháng</t>
  </si>
  <si>
    <t>Đi lại + tiếp khách/tháng</t>
  </si>
  <si>
    <t>Chi phí khác/tháng</t>
  </si>
  <si>
    <t>Tỷ lệ bảo hiểm DN đóng cho lao động trực tiếp</t>
  </si>
  <si>
    <t>Tỷ lệ chi phí lao động trực tiếp được khấu trừ thuế</t>
  </si>
  <si>
    <t>Tỷ lệ chi phí có hóa đơn VAT hợp lệ</t>
  </si>
  <si>
    <t>Chi phí ký hồ sơ (% doanh thu chưa VAT) - Loại 1</t>
  </si>
  <si>
    <t>Tỷ lệ chi phí ký hồ sơ được khấu trừ thuế</t>
  </si>
  <si>
    <t>KIỂM TRA RÀNG BUỘC LƯƠNG KỸ THUẬT TRỰC TIẾP (HỢP ĐỒNG LOẠI 2)</t>
  </si>
  <si>
    <t>Tỷ lệ tối đa chi phí lương kỹ thuật trực tiếp / doanh thu (Loại 2)</t>
  </si>
  <si>
    <t>Quỹ lương kỹ thuật dự tính theo doanh thu (20%)/năm</t>
  </si>
  <si>
    <t>Quỹ lương kỹ thuật dự tính theo doanh thu (20%)/tháng</t>
  </si>
  <si>
    <t>Quỹ lương kỹ thuật thực tế chi/năm</t>
  </si>
  <si>
    <t>Quỹ lương kỹ thuật thực tế chi/tháng</t>
  </si>
  <si>
    <t>Tỷ lệ lương kỹ thuật thực tế / doanh thu</t>
  </si>
  <si>
    <t>Chi phí ký hồ sơ (% doanh thu chưa VAT) - Loại 2</t>
  </si>
  <si>
    <t>BẢNG 2 - TÍNH TOÁN TRUNG GIAN</t>
  </si>
  <si>
    <t>DOANH THU TƯ VẤN</t>
  </si>
  <si>
    <t>Doanh thu tư vấn giám sát</t>
  </si>
  <si>
    <t>Doanh thu tư vấn thiết kế</t>
  </si>
  <si>
    <t>Tổng doanh thu tư vấn chưa VAT</t>
  </si>
  <si>
    <t>CHI PHÍ CỐ ĐỊNH CHUNG</t>
  </si>
  <si>
    <t>Thuê văn phòng/năm</t>
  </si>
  <si>
    <t>Đi lại + tiếp khách/năm</t>
  </si>
  <si>
    <t>Chi phí khác/năm</t>
  </si>
  <si>
    <t>Tổng chi phí cố định thực chi</t>
  </si>
  <si>
    <t>Chi phí cố định được khấu trừ thuế</t>
  </si>
  <si>
    <t>CHI PHÍ LAO ĐỘNG TRỰC TIẾP</t>
  </si>
  <si>
    <t>Lương GĐ + kế toán/năm</t>
  </si>
  <si>
    <t>Lương kỹ thuật trực tiếp Loại 2/năm</t>
  </si>
  <si>
    <t>Bảo hiểm LĐ trực tiếp Loại 1</t>
  </si>
  <si>
    <t>Bảo hiểm LĐ trực tiếp Loại 2</t>
  </si>
  <si>
    <t>Tổng chi phí lao động trực tiếp Loại 1</t>
  </si>
  <si>
    <t>Tổng chi phí lao động trực tiếp Loại 2</t>
  </si>
  <si>
    <t>Chi phí lao động được khấu trừ Loại 1</t>
  </si>
  <si>
    <t>Chi phí lao động được khấu trừ Loại 2</t>
  </si>
  <si>
    <t>VAT VÀ DÒNG TIỀN</t>
  </si>
  <si>
    <t>VAT đầu ra</t>
  </si>
  <si>
    <t>Chi phí có hóa đơn VAT hợp lệ</t>
  </si>
  <si>
    <t>VAT đầu vào được khấu trừ</t>
  </si>
  <si>
    <t>VAT phải nộp</t>
  </si>
  <si>
    <t>Tổng tiền khách thanh toán gồm VAT</t>
  </si>
  <si>
    <t>Doanh thu thuần sau bù trừ VAT</t>
  </si>
  <si>
    <t>CHI PHÍ KÝ HỒ SƠ</t>
  </si>
  <si>
    <t>Chi phí ký hồ sơ Loại 1</t>
  </si>
  <si>
    <t>Chi phí ký hồ sơ được khấu trừ thuế Loại 1</t>
  </si>
  <si>
    <t>Chi phí ký hồ sơ Loại 2</t>
  </si>
  <si>
    <t>Chi phí ký hồ sơ được khấu trừ thuế Loại 2</t>
  </si>
  <si>
    <t>BẢNG 3 - SO SÁNH KẾT QUẢ 2 LOẠI HỢP ĐỒNG</t>
  </si>
  <si>
    <t>Loại 1</t>
  </si>
  <si>
    <t>Loại 2</t>
  </si>
  <si>
    <t>Doanh thu trước VAT</t>
  </si>
  <si>
    <t>Cắt lại CĐT không được khấu trừ</t>
  </si>
  <si>
    <t>Chi phí lao động trực tiếp</t>
  </si>
  <si>
    <t>Chi phí ký hồ sơ</t>
  </si>
  <si>
    <t>Chi phí cố định thực chi</t>
  </si>
  <si>
    <t>Lãi gộp sau cắt lại, lao động và ký hồ sơ</t>
  </si>
  <si>
    <t>Lãi trước thuế theo dòng tiền</t>
  </si>
  <si>
    <t>Chi phí được khấu trừ thuế TNDN</t>
  </si>
  <si>
    <t>Thu nhập chịu thuế TNDN</t>
  </si>
  <si>
    <t>Thuế TNDN / Doanh thu</t>
  </si>
  <si>
    <t>VAT đầu vào đã trả nhà cung cấp</t>
  </si>
  <si>
    <t>Lãi ròng sau thuế</t>
  </si>
  <si>
    <t>Lãi ròng/tháng</t>
  </si>
  <si>
    <t>Biên lãi ròng</t>
  </si>
  <si>
    <t>Chi phí cố định / Doanh thu</t>
  </si>
  <si>
    <t>Chi phí lao động trực tiếp / Doanh thu</t>
  </si>
  <si>
    <t>Dòng tiền sau nộp VAT và thuế TNDN</t>
  </si>
  <si>
    <t>GHI CHÚ CFO</t>
  </si>
  <si>
    <t>Luong giam doc va ke toan duoc tinh vao chi phi lao dong truc tiep cua ca hai loai hop dong.</t>
  </si>
  <si>
    <t>Loại 1 khong co luong 2 ky thuat; Loại 2 co them luong 2 ky thuat va bao hiem lien quan.</t>
  </si>
  <si>
    <t>Chi phí ký hồ sơ: Loại 1 mặc định bằng 5% doanh thu chưa VAT; Loại 2 = 0% (không ap dung), co the dieu chinh tai Dau_vao!B34.</t>
  </si>
  <si>
    <t>Phần cắt lại CĐT là dòng tiền ra nhưng không được khấu trừ TNDN và không có VAT dau vao de khau tru.</t>
  </si>
  <si>
    <t>PHƯƠNG ÁN TỐI ƯU THUẾ - HỢP THỨC HÓA CHI PHÍ ĐẦU VÀO</t>
  </si>
  <si>
    <t>Phân tích ngưỡng hòa vốn lãi ròng và đề xuất chi phí hợp lệ để giảm thuế TNDN</t>
  </si>
  <si>
    <t>I. TÌNH HÌNH HIỆN TẠI (Liên kết từ mô hình gốc)</t>
  </si>
  <si>
    <t>Doanh thu chưa VAT/năm</t>
  </si>
  <si>
    <t>Cắt lại CĐT</t>
  </si>
  <si>
    <t>Không được KT thuế</t>
  </si>
  <si>
    <t>Chi phí lao động TT</t>
  </si>
  <si>
    <t>Chi phí KT thuế TNDN</t>
  </si>
  <si>
    <t>Thu nhập chịu thuế</t>
  </si>
  <si>
    <t>Thuế TNDN phải nộp</t>
  </si>
  <si>
    <t>II. PHÂN TÍCH NGƯỠNG DOANH THU (Điểm lãi ròng = 0)</t>
  </si>
  <si>
    <t>⚠  Khi doanh thu giảm tới mức nào thì lãi ròng bắt đầu âm? Phân tích cho cả 2 loại hợp đồng.</t>
  </si>
  <si>
    <t>DT hòa vốn lãi ròng (lý thuyết)</t>
  </si>
  <si>
    <t>Dưới mức này lãi ròng âm</t>
  </si>
  <si>
    <t>% giảm DT so với hiện tại</t>
  </si>
  <si>
    <t>Biên độ an toàn (VND)</t>
  </si>
  <si>
    <t>Doanh thu hiện tại dư ra so ngưỡng</t>
  </si>
  <si>
    <t>Biên độ an toàn (%)</t>
  </si>
  <si>
    <t>III. ĐỀ XUẤT CHI PHÍ ĐẦU VÀO HỢP LỆ ĐỂ GIẢM THUẾ TNDN</t>
  </si>
  <si>
    <t>💡 Mục tiêu: Tăng chi phí được khấu trừ thuế để giảm thu nhập chịu thuế xuống mức tối ưu (Lãi ròng mục tiêu nhập ở B31). Các ô màu vàng là đầu vào điều chỉnh được.</t>
  </si>
  <si>
    <t>Lãi ròng mục tiêu/năm (nhập)</t>
  </si>
  <si>
    <t>Nhập lãi ròng mục tiêu bạn muốn đạt</t>
  </si>
  <si>
    <t>Lãi ròng mục tiêu/tháng</t>
  </si>
  <si>
    <t>Hạng mục chi phí</t>
  </si>
  <si>
    <t>Cơ sở pháp lý / Ghi chú</t>
  </si>
  <si>
    <t>Chi phí KT thuế hiện tại</t>
  </si>
  <si>
    <t>Từ mô hình gốc</t>
  </si>
  <si>
    <t>Thuế TNDN hiện tại</t>
  </si>
  <si>
    <t>Chi phí cần tăng thêm (hợp lệ)</t>
  </si>
  <si>
    <t>(Lãi ròng hiện tại - Mục tiêu) / (1 - thuế TNDN 17%)</t>
  </si>
  <si>
    <t>Thuế TNDN sau tối ưu</t>
  </si>
  <si>
    <t>Thuế tiết kiệm được</t>
  </si>
  <si>
    <t>IV. CÁC PHƯƠNG ÁN HỢP THỨC HÓA CHI PHÍ (Phân bổ chi phí tăng thêm)</t>
  </si>
  <si>
    <t>Phân bổ chi phí cần tăng thêm (B36/C36) vào các khoản hợp lệ có hóa đơn VAT. Nhập % phân bổ tại cột B (Loại 1) và C (Loại 2). Tổng phải = 100%.</t>
  </si>
  <si>
    <t>Khoản mục</t>
  </si>
  <si>
    <t>% phân bổ L1</t>
  </si>
  <si>
    <t>% phân bổ L2</t>
  </si>
  <si>
    <t>Căn cứ pháp lý</t>
  </si>
  <si>
    <t>Ghi chú thực tế</t>
  </si>
  <si>
    <t>1. Đào tạo &amp; nâng cao năng lực</t>
  </si>
  <si>
    <t>Điều 4 TT 78/2014 - CP đào tạo</t>
  </si>
  <si>
    <t>Khóa học PM, BIM, quản lý DA; cần HĐ + chứng chỉ</t>
  </si>
  <si>
    <t>2. Thiết bị &amp; phần mềm chuyên ngành</t>
  </si>
  <si>
    <t>Điều 4 TT 78/2014 - CP công cụ</t>
  </si>
  <si>
    <t>AutoCAD, Revit, MS Project, máy tính, máy in A0</t>
  </si>
  <si>
    <t>3. Chi phí văn phòng &amp; quản lý nâng cao</t>
  </si>
  <si>
    <t>Điều 4 TT 78/2014 - CP quản lý</t>
  </si>
  <si>
    <t>Nâng hạng VP, văn phòng phẩm chuyên dụng, bảo hiểm VP</t>
  </si>
  <si>
    <t>4. Thuê chuyên gia/cộng tác viên kỹ thuật</t>
  </si>
  <si>
    <t>Điều 4 TT 78/2014 - CP dịch vụ mua ngoài</t>
  </si>
  <si>
    <t>HĐ dịch vụ với cá nhân/tổ chức; cần HĐ + chứng từ CK</t>
  </si>
  <si>
    <t>5. Chi phí marketing &amp; phát triển kinh doanh</t>
  </si>
  <si>
    <t>Điều 4 TT 78/2014 - CP QC (&lt;15% tổng CP)</t>
  </si>
  <si>
    <t>Website, hội thảo, in ấn hồ sơ năng lực</t>
  </si>
  <si>
    <t>6. Dự phòng &amp; chi phí phát sinh khác</t>
  </si>
  <si>
    <t>Điều 4 TT 78/2014 - CP phát sinh</t>
  </si>
  <si>
    <t>Phụ lục HĐ, bảo trì TB, bảo hiểm trách nhiệm nghề</t>
  </si>
  <si>
    <t>Tổng % phân bổ (phải = 100%)</t>
  </si>
  <si>
    <t>Quy đổi sang số tiền tuyệt đối (VND)</t>
  </si>
  <si>
    <t>Loại 1 (VND)</t>
  </si>
  <si>
    <t>Loại 2 (VND)</t>
  </si>
  <si>
    <t>Chi phí tháng L1</t>
  </si>
  <si>
    <t>Chi phí tháng L2</t>
  </si>
  <si>
    <t>V. KẾT QUẢ SAU TỐI ƯU - BẢNG ĐỐI CHIẾU TRƯỚC / SAU</t>
  </si>
  <si>
    <t>Loại 1 - Trước</t>
  </si>
  <si>
    <t>Loại 1 - Sau</t>
  </si>
  <si>
    <t>Loại 2 - Trước</t>
  </si>
  <si>
    <t>Loại 2 - Sau</t>
  </si>
  <si>
    <t>Thuế TNDN tiết kiệm</t>
  </si>
  <si>
    <t>Lãi ròng / tháng</t>
  </si>
  <si>
    <t>GHI CHÚ PHÁP LÝ &amp; LƯU Ý QUAN TRỌNG</t>
  </si>
  <si>
    <t>• Tất cả chi phí hợp thức hóa phải có HĐ VAT hợp lệ, thanh toán không dùng tiền mặt (&gt;20 triệu) theo Điều 15 TT 219/2013/TT-BTC.</t>
  </si>
  <si>
    <t>• Chi phí đào tạo được KT toàn bộ nếu có kế hoạch đào tạo, HĐ với cơ sở đào tạo, danh sách học viên (Điều 4.2 TT 96/2015/TT-BTC).</t>
  </si>
  <si>
    <t>• Chi phí CCDC, thiết bị &lt;30 triệu: ghi thẳng vào chi phí; ≥30 triệu: phải phân bổ khấu hao (Thông tư 45/2013/TT-BTC).</t>
  </si>
  <si>
    <t>• Chi phí thuê CTV/chuyên gia: ký HĐ dịch vụ, khấu trừ thuế TNCN tại nguồn 10% nếu thu nhập ≥2 triệu/lần (Điều 25 TT 111/2013).</t>
  </si>
  <si>
    <t>• Chi phí QC/marketing: tối đa 15% tổng chi phí được trừ trong năm (Khoản 21 Điều 4 TT 96/2015/TT-BTC).</t>
  </si>
  <si>
    <t>• Sheet này mang tính tham khảo nội bộ; cần tư vấn kế toán/thuế trước khi áp dụng thực tế.</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</si>
</sst>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0%;\(0.0%\);\-"/>
  </numFmts>
  <fonts count="12">
    <font>
      <sz val="11.0"/>
      <color rgb="FF000000"/>
      <name val="Calibri"/>
      <scheme val="minor"/>
    </font>
    <font>
      <b/>
      <sz val="14.0"/>
      <color rgb="FFFFFFFF"/>
      <name val="Arial"/>
    </font>
    <font/>
    <font>
      <sz val="11.0"/>
      <color rgb="FF000000"/>
      <name val="Calibri"/>
    </font>
    <font>
      <i/>
      <sz val="9.0"/>
      <color rgb="FF595959"/>
      <name val="Arial"/>
    </font>
    <font>
      <b/>
      <sz val="10.0"/>
      <color rgb="FFFFFFFF"/>
      <name val="Arial"/>
    </font>
    <font>
      <b/>
      <sz val="10.0"/>
      <color rgb="FF1F3864"/>
      <name val="Arial"/>
    </font>
    <font>
      <sz val="10.0"/>
      <color rgb="FF000000"/>
      <name val="Arial"/>
    </font>
    <font>
      <sz val="11.0"/>
      <color theme="1"/>
      <name val="Arial"/>
    </font>
    <font>
      <sz val="11.0"/>
      <color theme="1"/>
      <name val="Calibri"/>
    </font>
    <font>
      <sz val="9.0"/>
      <color rgb="FF595959"/>
      <name val="Arial"/>
    </font>
    <font>
      <b/>
      <sz val="10.0"/>
      <color rgb="FF000000"/>
      <name val="Arial"/>
    </font>
  </fonts>
  <fills count="12">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9E1F2"/>
        <bgColor rgb="FFD9E1F2"/>
      </patternFill>
    </fill>
    <fill>
      <patternFill patternType="solid">
        <fgColor rgb="FFDEEAF1"/>
        <bgColor rgb="FFDEEAF1"/>
      </patternFill>
    </fill>
    <fill>
      <patternFill patternType="solid">
        <fgColor rgb="FFE2EFDA"/>
        <bgColor rgb="FFE2EFDA"/>
      </patternFill>
    </fill>
    <fill>
      <patternFill patternType="solid">
        <fgColor rgb="FFBDD7EE"/>
        <bgColor rgb="FFBDD7EE"/>
      </patternFill>
    </fill>
    <fill>
      <patternFill patternType="solid">
        <fgColor rgb="FFC9DAF8"/>
        <bgColor rgb="FFC9DAF8"/>
      </patternFill>
    </fill>
    <fill>
      <patternFill patternType="solid">
        <fgColor rgb="FFFFC000"/>
        <bgColor rgb="FFFFC000"/>
      </patternFill>
    </fill>
    <fill>
      <patternFill patternType="solid">
        <fgColor rgb="FFFFF2CC"/>
        <bgColor rgb="FFFFF2CC"/>
      </patternFill>
    </fill>
    <fill>
      <patternFill patternType="solid">
        <fgColor rgb="FF70AD47"/>
        <bgColor rgb="FF70AD47"/>
      </patternFill>
    </fill>
  </fills>
  <borders count="11">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0C4D8"/>
      </left>
      <top style="thin">
        <color rgb="FFB0C4D8"/>
      </top>
      <bottom style="thin">
        <color rgb="FFB0C4D8"/>
      </bottom>
    </border>
    <border>
      <right style="thin">
        <color rgb="FFB0C4D8"/>
      </right>
      <top style="thin">
        <color rgb="FFB0C4D8"/>
      </top>
      <bottom style="thin">
        <color rgb="FFB0C4D8"/>
      </bottom>
    </border>
    <border>
      <left style="thin">
        <color rgb="FFB0C4D8"/>
      </left>
      <right style="thin">
        <color rgb="FFB0C4D8"/>
      </right>
      <top style="thin">
        <color rgb="FFB0C4D8"/>
      </top>
      <bottom style="thin">
        <color rgb="FFB0C4D8"/>
      </bottom>
    </border>
    <border>
      <left/>
      <right/>
      <top/>
      <bottom/>
    </border>
    <border>
      <top style="thin">
        <color rgb="FFB0C4D8"/>
      </top>
      <bottom style="thin">
        <color rgb="FFB0C4D8"/>
      </bottom>
    </border>
    <border>
      <right/>
      <top style="thin">
        <color rgb="FFB0C4D8"/>
      </top>
      <bottom style="thin">
        <color rgb="FFB0C4D8"/>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1" fillId="3" fontId="5"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4" fillId="5" fontId="7" numFmtId="0" xfId="0" applyAlignment="1" applyBorder="1" applyFill="1" applyFont="1">
      <alignment horizontal="center" shrinkToFit="0" vertical="center" wrapText="1"/>
    </xf>
    <xf borderId="4" fillId="0" fontId="7" numFmtId="164" xfId="0" applyAlignment="1" applyBorder="1" applyFont="1" applyNumberFormat="1">
      <alignment horizontal="right" shrinkToFit="0" vertical="center" wrapText="0"/>
    </xf>
    <xf borderId="4" fillId="6" fontId="7" numFmtId="164" xfId="0" applyAlignment="1" applyBorder="1" applyFill="1" applyFont="1" applyNumberFormat="1">
      <alignment horizontal="right" shrinkToFit="0" vertical="center" wrapText="0"/>
    </xf>
    <xf borderId="4" fillId="5" fontId="7" numFmtId="10" xfId="0" applyAlignment="1" applyBorder="1" applyFont="1" applyNumberFormat="1">
      <alignment horizontal="right" shrinkToFit="0" vertical="center" wrapText="0"/>
    </xf>
    <xf borderId="4" fillId="7" fontId="7" numFmtId="164" xfId="0" applyAlignment="1" applyBorder="1" applyFill="1" applyFont="1" applyNumberFormat="1">
      <alignment horizontal="right" shrinkToFit="0" vertical="center" wrapText="0"/>
    </xf>
    <xf borderId="4" fillId="5" fontId="7" numFmtId="164" xfId="0" applyAlignment="1" applyBorder="1" applyFont="1" applyNumberFormat="1">
      <alignment horizontal="right" shrinkToFit="0" vertical="center" wrapText="0"/>
    </xf>
    <xf borderId="0" fillId="0" fontId="8" numFmtId="0" xfId="0" applyAlignment="1" applyFont="1">
      <alignment shrinkToFit="0" vertical="bottom" wrapText="0"/>
    </xf>
    <xf borderId="5" fillId="2" fontId="1" numFmtId="0" xfId="0" applyAlignment="1" applyBorder="1" applyFont="1">
      <alignment shrinkToFit="0" vertical="bottom" wrapText="0"/>
    </xf>
    <xf borderId="6" fillId="0" fontId="2" numFmtId="0" xfId="0" applyBorder="1" applyFont="1"/>
    <xf borderId="0" fillId="0" fontId="9" numFmtId="0" xfId="0" applyAlignment="1" applyFont="1">
      <alignment shrinkToFit="0" vertical="bottom" wrapText="0"/>
    </xf>
    <xf borderId="5" fillId="0" fontId="10" numFmtId="0" xfId="0" applyAlignment="1" applyBorder="1" applyFont="1">
      <alignment shrinkToFit="0" vertical="bottom" wrapText="0"/>
    </xf>
    <xf borderId="7" fillId="5" fontId="11" numFmtId="0" xfId="0" applyAlignment="1" applyBorder="1" applyFont="1">
      <alignment shrinkToFit="0" vertical="bottom" wrapText="0"/>
    </xf>
    <xf borderId="7" fillId="5" fontId="7" numFmtId="0" xfId="0" applyAlignment="1" applyBorder="1" applyFont="1">
      <alignment shrinkToFit="0" vertical="bottom" wrapText="0"/>
    </xf>
    <xf borderId="7" fillId="6" fontId="7" numFmtId="3" xfId="0" applyAlignment="1" applyBorder="1" applyFont="1" applyNumberFormat="1">
      <alignment readingOrder="0" shrinkToFit="0" vertical="bottom" wrapText="0"/>
    </xf>
    <xf borderId="7" fillId="6" fontId="7" numFmtId="10" xfId="0" applyAlignment="1" applyBorder="1" applyFont="1" applyNumberFormat="1">
      <alignment shrinkToFit="0" vertical="bottom" wrapText="0"/>
    </xf>
    <xf borderId="7" fillId="6" fontId="7" numFmtId="165" xfId="0" applyAlignment="1" applyBorder="1" applyFont="1" applyNumberFormat="1">
      <alignment shrinkToFit="0" vertical="bottom" wrapText="0"/>
    </xf>
    <xf borderId="7" fillId="6" fontId="7" numFmtId="165" xfId="0" applyAlignment="1" applyBorder="1" applyFont="1" applyNumberFormat="1">
      <alignment readingOrder="0" shrinkToFit="0" vertical="bottom" wrapText="0"/>
    </xf>
    <xf borderId="7" fillId="6" fontId="7" numFmtId="3" xfId="0" applyAlignment="1" applyBorder="1" applyFont="1" applyNumberFormat="1">
      <alignment shrinkToFit="0" vertical="bottom" wrapText="0"/>
    </xf>
    <xf borderId="7" fillId="8" fontId="11" numFmtId="0" xfId="0" applyAlignment="1" applyBorder="1" applyFill="1" applyFont="1">
      <alignment shrinkToFit="0" vertical="bottom" wrapText="0"/>
    </xf>
    <xf borderId="8" fillId="8" fontId="9" numFmtId="0" xfId="0" applyAlignment="1" applyBorder="1" applyFont="1">
      <alignment shrinkToFit="0" vertical="bottom" wrapText="0"/>
    </xf>
    <xf borderId="7" fillId="0" fontId="7" numFmtId="0" xfId="0" applyAlignment="1" applyBorder="1" applyFont="1">
      <alignment shrinkToFit="0" vertical="bottom" wrapText="0"/>
    </xf>
    <xf borderId="7" fillId="2" fontId="1" numFmtId="0" xfId="0" applyAlignment="1" applyBorder="1" applyFont="1">
      <alignment shrinkToFit="0" vertical="bottom" wrapText="0"/>
    </xf>
    <xf borderId="7" fillId="0" fontId="7" numFmtId="3" xfId="0" applyAlignment="1" applyBorder="1" applyFont="1" applyNumberFormat="1">
      <alignment shrinkToFit="0" vertical="bottom" wrapText="0"/>
    </xf>
    <xf borderId="7" fillId="5" fontId="11" numFmtId="3" xfId="0" applyAlignment="1" applyBorder="1" applyFont="1" applyNumberFormat="1">
      <alignment shrinkToFit="0" vertical="bottom" wrapText="0"/>
    </xf>
    <xf borderId="9" fillId="0" fontId="2" numFmtId="0" xfId="0" applyBorder="1" applyFont="1"/>
    <xf borderId="7" fillId="0" fontId="7" numFmtId="165" xfId="0" applyAlignment="1" applyBorder="1" applyFont="1" applyNumberFormat="1">
      <alignment shrinkToFit="0" vertical="bottom" wrapText="0"/>
    </xf>
    <xf borderId="5" fillId="2" fontId="1" numFmtId="0" xfId="0" applyAlignment="1" applyBorder="1" applyFont="1">
      <alignment horizontal="center" shrinkToFit="0" vertical="center" wrapText="0"/>
    </xf>
    <xf borderId="10" fillId="0" fontId="2" numFmtId="0" xfId="0" applyBorder="1" applyFont="1"/>
    <xf borderId="5" fillId="0" fontId="4" numFmtId="0" xfId="0" applyAlignment="1" applyBorder="1" applyFont="1">
      <alignment horizontal="left" shrinkToFit="0" vertical="center" wrapText="1"/>
    </xf>
    <xf borderId="5" fillId="3" fontId="5" numFmtId="0" xfId="0" applyAlignment="1" applyBorder="1" applyFont="1">
      <alignment horizontal="left" shrinkToFit="0" vertical="center" wrapText="1"/>
    </xf>
    <xf borderId="7" fillId="4" fontId="6" numFmtId="0" xfId="0" applyAlignment="1" applyBorder="1" applyFont="1">
      <alignment horizontal="center" shrinkToFit="0" vertical="center" wrapText="0"/>
    </xf>
    <xf borderId="7" fillId="5" fontId="7" numFmtId="0" xfId="0" applyAlignment="1" applyBorder="1" applyFont="1">
      <alignment horizontal="left" shrinkToFit="0" vertical="center" wrapText="1"/>
    </xf>
    <xf borderId="7" fillId="7" fontId="7" numFmtId="164" xfId="0" applyAlignment="1" applyBorder="1" applyFont="1" applyNumberFormat="1">
      <alignment horizontal="right" shrinkToFit="0" vertical="center" wrapText="0"/>
    </xf>
    <xf borderId="7" fillId="5" fontId="7" numFmtId="0" xfId="0" applyAlignment="1" applyBorder="1" applyFont="1">
      <alignment horizontal="center" shrinkToFit="0" vertical="center" wrapText="0"/>
    </xf>
    <xf borderId="7" fillId="0" fontId="4" numFmtId="0" xfId="0" applyAlignment="1" applyBorder="1" applyFont="1">
      <alignment horizontal="left" shrinkToFit="0" vertical="center" wrapText="1"/>
    </xf>
    <xf borderId="7" fillId="7" fontId="7" numFmtId="166" xfId="0" applyAlignment="1" applyBorder="1" applyFont="1" applyNumberFormat="1">
      <alignment horizontal="right" shrinkToFit="0" vertical="center" wrapText="0"/>
    </xf>
    <xf borderId="7" fillId="9" fontId="11" numFmtId="0" xfId="0" applyAlignment="1" applyBorder="1" applyFill="1" applyFont="1">
      <alignment horizontal="left" shrinkToFit="0" vertical="center" wrapText="1"/>
    </xf>
    <xf borderId="7" fillId="9" fontId="11" numFmtId="164" xfId="0" applyAlignment="1" applyBorder="1" applyFont="1" applyNumberFormat="1">
      <alignment horizontal="right" shrinkToFit="0" vertical="center" wrapText="0"/>
    </xf>
    <xf borderId="7" fillId="9" fontId="11" numFmtId="166" xfId="0" applyAlignment="1" applyBorder="1" applyFont="1" applyNumberFormat="1">
      <alignment horizontal="right" shrinkToFit="0" vertical="center" wrapText="0"/>
    </xf>
    <xf borderId="7" fillId="6" fontId="6" numFmtId="0" xfId="0" applyAlignment="1" applyBorder="1" applyFont="1">
      <alignment horizontal="left" shrinkToFit="0" vertical="center" wrapText="1"/>
    </xf>
    <xf borderId="7" fillId="6" fontId="6" numFmtId="164" xfId="0" applyAlignment="1" applyBorder="1" applyFont="1" applyNumberFormat="1">
      <alignment horizontal="right" shrinkToFit="0" vertical="center" wrapText="0"/>
    </xf>
    <xf borderId="7" fillId="6" fontId="6" numFmtId="166" xfId="0" applyAlignment="1" applyBorder="1" applyFont="1" applyNumberFormat="1">
      <alignment horizontal="right" shrinkToFit="0" vertical="center" wrapText="0"/>
    </xf>
    <xf borderId="7" fillId="10" fontId="7" numFmtId="164" xfId="0" applyAlignment="1" applyBorder="1" applyFill="1" applyFont="1" applyNumberFormat="1">
      <alignment horizontal="right" readingOrder="0" shrinkToFit="0" vertical="center" wrapText="0"/>
    </xf>
    <xf borderId="7" fillId="10" fontId="7" numFmtId="164" xfId="0" applyAlignment="1" applyBorder="1" applyFont="1" applyNumberFormat="1">
      <alignment horizontal="right" shrinkToFit="0" vertical="center" wrapText="0"/>
    </xf>
    <xf borderId="7" fillId="0" fontId="4" numFmtId="0" xfId="0" applyAlignment="1" applyBorder="1" applyFont="1">
      <alignment horizontal="left" shrinkToFit="0" vertical="bottom" wrapText="1"/>
    </xf>
    <xf borderId="7" fillId="11" fontId="5" numFmtId="0" xfId="0" applyAlignment="1" applyBorder="1" applyFill="1" applyFont="1">
      <alignment horizontal="left" shrinkToFit="0" vertical="center" wrapText="1"/>
    </xf>
    <xf borderId="7" fillId="11" fontId="5" numFmtId="164" xfId="0" applyAlignment="1" applyBorder="1" applyFont="1" applyNumberFormat="1">
      <alignment horizontal="right" shrinkToFit="0" vertical="center" wrapText="0"/>
    </xf>
    <xf borderId="7" fillId="10" fontId="7" numFmtId="9" xfId="0" applyAlignment="1" applyBorder="1" applyFont="1" applyNumberFormat="1">
      <alignment horizontal="right" shrinkToFit="0" vertical="center" wrapText="0"/>
    </xf>
    <xf borderId="7" fillId="4" fontId="6" numFmtId="0" xfId="0" applyAlignment="1" applyBorder="1" applyFont="1">
      <alignment horizontal="left" shrinkToFit="0" vertical="center" wrapText="1"/>
    </xf>
    <xf borderId="7" fillId="4" fontId="6" numFmtId="9" xfId="0" applyAlignment="1" applyBorder="1" applyFont="1" applyNumberFormat="1">
      <alignment horizontal="right" shrinkToFit="0" vertical="center" wrapText="0"/>
    </xf>
    <xf borderId="7" fillId="4" fontId="6" numFmtId="164" xfId="0" applyAlignment="1" applyBorder="1" applyFont="1" applyNumberFormat="1">
      <alignment horizontal="right" shrinkToFit="0" vertical="center" wrapText="0"/>
    </xf>
    <xf borderId="7" fillId="7" fontId="7" numFmtId="0" xfId="0" applyAlignment="1" applyBorder="1" applyFont="1">
      <alignment horizontal="right" shrinkToFit="0" vertical="center" wrapText="0"/>
    </xf>
    <xf borderId="7" fillId="11" fontId="5" numFmtId="166" xfId="0" applyAlignment="1" applyBorder="1" applyFont="1" applyNumberForma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22.0"/>
    <col customWidth="1" min="3" max="3" width="17.0"/>
    <col customWidth="1" min="4" max="4" width="20.0"/>
    <col customWidth="1" min="5" max="5" width="18.0"/>
    <col customWidth="1" min="6" max="6" width="20.0"/>
    <col customWidth="1" min="7" max="7" width="38.0"/>
  </cols>
  <sheetData>
    <row r="1" ht="17.25" customHeight="1">
      <c r="A1" s="1" t="s">
        <v>0</v>
      </c>
      <c r="B1" s="2"/>
      <c r="C1" s="2"/>
      <c r="D1" s="2"/>
      <c r="E1" s="2"/>
      <c r="F1" s="2"/>
      <c r="G1" s="3"/>
      <c r="H1" s="4"/>
      <c r="I1" s="4"/>
      <c r="J1" s="4"/>
      <c r="K1" s="4"/>
      <c r="L1" s="4"/>
      <c r="M1" s="4"/>
      <c r="N1" s="4"/>
      <c r="O1" s="4"/>
      <c r="P1" s="4"/>
      <c r="Q1" s="4"/>
      <c r="R1" s="4"/>
      <c r="S1" s="4"/>
      <c r="T1" s="4"/>
      <c r="U1" s="4"/>
      <c r="V1" s="4"/>
      <c r="W1" s="4"/>
      <c r="X1" s="4"/>
      <c r="Y1" s="4"/>
      <c r="Z1" s="4"/>
    </row>
    <row r="2" ht="15.0" customHeight="1">
      <c r="A2" s="5" t="s">
        <v>1</v>
      </c>
      <c r="H2" s="4"/>
      <c r="I2" s="4"/>
      <c r="J2" s="4"/>
      <c r="K2" s="4"/>
      <c r="L2" s="4"/>
      <c r="M2" s="4"/>
      <c r="N2" s="4"/>
      <c r="O2" s="4"/>
      <c r="P2" s="4"/>
      <c r="Q2" s="4"/>
      <c r="R2" s="4"/>
      <c r="S2" s="4"/>
      <c r="T2" s="4"/>
      <c r="U2" s="4"/>
      <c r="V2" s="4"/>
      <c r="W2" s="4"/>
      <c r="X2" s="4"/>
      <c r="Y2" s="4"/>
      <c r="Z2" s="4"/>
    </row>
    <row r="3" ht="15.0" customHeight="1">
      <c r="A3" s="5" t="s">
        <v>2</v>
      </c>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ht="15.0" customHeight="1">
      <c r="A5" s="6" t="s">
        <v>3</v>
      </c>
      <c r="B5" s="2"/>
      <c r="C5" s="2"/>
      <c r="D5" s="2"/>
      <c r="E5" s="2"/>
      <c r="F5" s="2"/>
      <c r="G5" s="3"/>
      <c r="H5" s="4"/>
      <c r="I5" s="4"/>
      <c r="J5" s="4"/>
      <c r="K5" s="4"/>
      <c r="L5" s="4"/>
      <c r="M5" s="4"/>
      <c r="N5" s="4"/>
      <c r="O5" s="4"/>
      <c r="P5" s="4"/>
      <c r="Q5" s="4"/>
      <c r="R5" s="4"/>
      <c r="S5" s="4"/>
      <c r="T5" s="4"/>
      <c r="U5" s="4"/>
      <c r="V5" s="4"/>
      <c r="W5" s="4"/>
      <c r="X5" s="4"/>
      <c r="Y5" s="4"/>
      <c r="Z5" s="4"/>
    </row>
    <row r="6" ht="15.0" customHeight="1">
      <c r="A6" s="7" t="s">
        <v>4</v>
      </c>
      <c r="B6" s="7" t="s">
        <v>5</v>
      </c>
      <c r="C6" s="7" t="s">
        <v>6</v>
      </c>
      <c r="D6" s="7" t="s">
        <v>7</v>
      </c>
      <c r="E6" s="4"/>
      <c r="F6" s="4"/>
      <c r="G6" s="4"/>
      <c r="H6" s="4"/>
      <c r="I6" s="4"/>
      <c r="J6" s="4"/>
      <c r="K6" s="4"/>
      <c r="L6" s="4"/>
      <c r="M6" s="4"/>
      <c r="N6" s="4"/>
      <c r="O6" s="4"/>
      <c r="P6" s="4"/>
      <c r="Q6" s="4"/>
      <c r="R6" s="4"/>
      <c r="S6" s="4"/>
      <c r="T6" s="4"/>
      <c r="U6" s="4"/>
      <c r="V6" s="4"/>
      <c r="W6" s="4"/>
      <c r="X6" s="4"/>
      <c r="Y6" s="4"/>
      <c r="Z6" s="4"/>
    </row>
    <row r="7" ht="21.75" customHeight="1">
      <c r="A7" s="8" t="s">
        <v>8</v>
      </c>
      <c r="B7" s="9">
        <v>9.0E9</v>
      </c>
      <c r="C7" s="8" t="s">
        <v>9</v>
      </c>
      <c r="D7" s="5" t="s">
        <v>10</v>
      </c>
      <c r="E7" s="4"/>
      <c r="F7" s="4"/>
      <c r="G7" s="4"/>
      <c r="H7" s="4"/>
      <c r="I7" s="4"/>
      <c r="J7" s="4"/>
      <c r="K7" s="4"/>
      <c r="L7" s="4"/>
      <c r="M7" s="4"/>
      <c r="N7" s="4"/>
      <c r="O7" s="4"/>
      <c r="P7" s="4"/>
      <c r="Q7" s="4"/>
      <c r="R7" s="4"/>
      <c r="S7" s="4"/>
      <c r="T7" s="4"/>
      <c r="U7" s="4"/>
      <c r="V7" s="4"/>
      <c r="W7" s="4"/>
      <c r="X7" s="4"/>
      <c r="Y7" s="4"/>
      <c r="Z7" s="4"/>
    </row>
    <row r="8" ht="32.25" customHeight="1">
      <c r="A8" s="8" t="s">
        <v>11</v>
      </c>
      <c r="B8" s="9">
        <v>0.0</v>
      </c>
      <c r="C8" s="8" t="s">
        <v>9</v>
      </c>
      <c r="D8" s="5" t="s">
        <v>12</v>
      </c>
      <c r="E8" s="4"/>
      <c r="F8" s="4"/>
      <c r="G8" s="4"/>
      <c r="H8" s="4"/>
      <c r="I8" s="4"/>
      <c r="J8" s="4"/>
      <c r="K8" s="4"/>
      <c r="L8" s="4"/>
      <c r="M8" s="4"/>
      <c r="N8" s="4"/>
      <c r="O8" s="4"/>
      <c r="P8" s="4"/>
      <c r="Q8" s="4"/>
      <c r="R8" s="4"/>
      <c r="S8" s="4"/>
      <c r="T8" s="4"/>
      <c r="U8" s="4"/>
      <c r="V8" s="4"/>
      <c r="W8" s="4"/>
      <c r="X8" s="4"/>
      <c r="Y8" s="4"/>
      <c r="Z8" s="4"/>
    </row>
    <row r="9" ht="21.75" customHeight="1">
      <c r="A9" s="8" t="s">
        <v>13</v>
      </c>
      <c r="B9" s="10" t="s">
        <v>14</v>
      </c>
      <c r="C9" s="8"/>
      <c r="D9" s="5" t="s">
        <v>15</v>
      </c>
      <c r="E9" s="4"/>
      <c r="F9" s="4"/>
      <c r="G9" s="4"/>
      <c r="H9" s="4"/>
      <c r="I9" s="4"/>
      <c r="J9" s="4"/>
      <c r="K9" s="4"/>
      <c r="L9" s="4"/>
      <c r="M9" s="4"/>
      <c r="N9" s="4"/>
      <c r="O9" s="4"/>
      <c r="P9" s="4"/>
      <c r="Q9" s="4"/>
      <c r="R9" s="4"/>
      <c r="S9" s="4"/>
      <c r="T9" s="4"/>
      <c r="U9" s="4"/>
      <c r="V9" s="4"/>
      <c r="W9" s="4"/>
      <c r="X9" s="4"/>
      <c r="Y9" s="4"/>
      <c r="Z9" s="4"/>
    </row>
    <row r="10" ht="15.0" customHeight="1">
      <c r="A10" s="8" t="s">
        <v>16</v>
      </c>
      <c r="B10" s="11">
        <f>Dau_vao!B21</f>
        <v>0.08</v>
      </c>
      <c r="C10" s="8" t="s">
        <v>17</v>
      </c>
      <c r="D10" s="5" t="s">
        <v>18</v>
      </c>
      <c r="E10" s="4"/>
      <c r="F10" s="4"/>
      <c r="G10" s="4"/>
      <c r="H10" s="4"/>
      <c r="I10" s="4"/>
      <c r="J10" s="4"/>
      <c r="K10" s="4"/>
      <c r="L10" s="4"/>
      <c r="M10" s="4"/>
      <c r="N10" s="4"/>
      <c r="O10" s="4"/>
      <c r="P10" s="4"/>
      <c r="Q10" s="4"/>
      <c r="R10" s="4"/>
      <c r="S10" s="4"/>
      <c r="T10" s="4"/>
      <c r="U10" s="4"/>
      <c r="V10" s="4"/>
      <c r="W10" s="4"/>
      <c r="X10" s="4"/>
      <c r="Y10" s="4"/>
      <c r="Z10" s="4"/>
    </row>
    <row r="11" ht="21.75" customHeight="1">
      <c r="A11" s="8" t="s">
        <v>19</v>
      </c>
      <c r="B11" s="12">
        <f>B7/1000000000</f>
        <v>9</v>
      </c>
      <c r="C11" s="8" t="s">
        <v>20</v>
      </c>
      <c r="D11" s="5" t="s">
        <v>21</v>
      </c>
      <c r="E11" s="4"/>
      <c r="F11" s="4"/>
      <c r="G11" s="4"/>
      <c r="H11" s="4"/>
      <c r="I11" s="4"/>
      <c r="J11" s="4"/>
      <c r="K11" s="4"/>
      <c r="L11" s="4"/>
      <c r="M11" s="4"/>
      <c r="N11" s="4"/>
      <c r="O11" s="4"/>
      <c r="P11" s="4"/>
      <c r="Q11" s="4"/>
      <c r="R11" s="4"/>
      <c r="S11" s="4"/>
      <c r="T11" s="4"/>
      <c r="U11" s="4"/>
      <c r="V11" s="4"/>
      <c r="W11" s="4"/>
      <c r="X11" s="4"/>
      <c r="Y11" s="4"/>
      <c r="Z11" s="4"/>
    </row>
    <row r="12" ht="15.0" customHeight="1">
      <c r="A12" s="8" t="s">
        <v>22</v>
      </c>
      <c r="B12" s="12">
        <f>(B7+B8)/1000000000</f>
        <v>9</v>
      </c>
      <c r="C12" s="8" t="s">
        <v>20</v>
      </c>
      <c r="D12" s="5" t="s">
        <v>23</v>
      </c>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6" t="s">
        <v>24</v>
      </c>
      <c r="B14" s="2"/>
      <c r="C14" s="2"/>
      <c r="D14" s="2"/>
      <c r="E14" s="2"/>
      <c r="F14" s="2"/>
      <c r="G14" s="3"/>
      <c r="H14" s="4"/>
      <c r="I14" s="4"/>
      <c r="J14" s="4"/>
      <c r="K14" s="4"/>
      <c r="L14" s="4"/>
      <c r="M14" s="4"/>
      <c r="N14" s="4"/>
      <c r="O14" s="4"/>
      <c r="P14" s="4"/>
      <c r="Q14" s="4"/>
      <c r="R14" s="4"/>
      <c r="S14" s="4"/>
      <c r="T14" s="4"/>
      <c r="U14" s="4"/>
      <c r="V14" s="4"/>
      <c r="W14" s="4"/>
      <c r="X14" s="4"/>
      <c r="Y14" s="4"/>
      <c r="Z14" s="4"/>
    </row>
    <row r="15" ht="15.0" customHeight="1">
      <c r="A15" s="7" t="s">
        <v>25</v>
      </c>
      <c r="B15" s="7" t="s">
        <v>26</v>
      </c>
      <c r="C15" s="7" t="s">
        <v>27</v>
      </c>
      <c r="D15" s="7" t="s">
        <v>28</v>
      </c>
      <c r="E15" s="7" t="s">
        <v>29</v>
      </c>
      <c r="F15" s="7" t="s">
        <v>30</v>
      </c>
      <c r="G15" s="7" t="s">
        <v>31</v>
      </c>
      <c r="H15" s="4"/>
      <c r="I15" s="4"/>
      <c r="J15" s="4"/>
      <c r="K15" s="4"/>
      <c r="L15" s="4"/>
      <c r="M15" s="4"/>
      <c r="N15" s="4"/>
      <c r="O15" s="4"/>
      <c r="P15" s="4"/>
      <c r="Q15" s="4"/>
      <c r="R15" s="4"/>
      <c r="S15" s="4"/>
      <c r="T15" s="4"/>
      <c r="U15" s="4"/>
      <c r="V15" s="4"/>
      <c r="W15" s="4"/>
      <c r="X15" s="4"/>
      <c r="Y15" s="4"/>
      <c r="Z15" s="4"/>
    </row>
    <row r="16" ht="15.0" customHeight="1">
      <c r="A16" s="8" t="s">
        <v>32</v>
      </c>
      <c r="B16" s="12">
        <f t="shared" ref="B16:B17" si="1">$B$7</f>
        <v>9000000000</v>
      </c>
      <c r="C16" s="11">
        <f t="array" ref="C16">IF($B$11&lt;=MIN($A$59:$A$69),INDEX($B$59:$B$69,1)/100,IF($B$11&gt;=MAX($A$59:$A$69),INDEX($B$59:$B$69,ROWS($B$59:$B$69))/100,(INDEX($B$59:$B$69,MATCH($B$11,$A$59:$A$69,1))+(INDEX($B$59:$B$69,MATCH($B$11,$A$59:$A$69,1)+1)-INDEX($B$59:$B$69,MATCH($B$11,$A$59:$A$69,1)))*(($B$11-INDEX($A$59:$A$69,MATCH($B$11,$A$59:$A$69,1)))/(INDEX($A$59:$A$69,MATCH($B$11,$A$59:$A$69,1)+1)-INDEX($A$59:$A$69,MATCH($B$11,$A$59:$A$69,1)))))/100))</f>
        <v>0.03285</v>
      </c>
      <c r="D16" s="12">
        <f t="shared" ref="D16:D18" si="2">B16*C16</f>
        <v>295650000</v>
      </c>
      <c r="E16" s="12">
        <f t="shared" ref="E16:E19" si="3">D16*$B$10</f>
        <v>23652000</v>
      </c>
      <c r="F16" s="12">
        <f t="shared" ref="F16:F19" si="4">D16+E16</f>
        <v>319302000</v>
      </c>
      <c r="G16" s="5" t="s">
        <v>33</v>
      </c>
      <c r="H16" s="4"/>
      <c r="I16" s="4"/>
      <c r="J16" s="4"/>
      <c r="K16" s="4"/>
      <c r="L16" s="4"/>
      <c r="M16" s="4"/>
      <c r="N16" s="4"/>
      <c r="O16" s="4"/>
      <c r="P16" s="4"/>
      <c r="Q16" s="4"/>
      <c r="R16" s="4"/>
      <c r="S16" s="4"/>
      <c r="T16" s="4"/>
      <c r="U16" s="4"/>
      <c r="V16" s="4"/>
      <c r="W16" s="4"/>
      <c r="X16" s="4"/>
      <c r="Y16" s="4"/>
      <c r="Z16" s="4"/>
    </row>
    <row r="17" ht="15.0" customHeight="1">
      <c r="A17" s="8" t="s">
        <v>34</v>
      </c>
      <c r="B17" s="12">
        <f t="shared" si="1"/>
        <v>9000000000</v>
      </c>
      <c r="C17" s="11">
        <f t="array" ref="C17">IFERROR(IF($B$11&lt;=MIN($A$44:$A$54),INDEX($B$44:$F$54,1,MATCH($B$9,$B$43:$F$43,0))/100,IF($B$11&gt;=MAX($A$44:$A$54),INDEX($B$44:$F$54,ROWS($A$44:$A$54),MATCH($B$9,$B$43:$F$43,0))/100,(INDEX($B$44:$F$54,MATCH($B$11,$A$44:$A$54,1),MATCH($B$9,$B$43:$F$43,0))+(INDEX($B$44:$F$54,MATCH($B$11,$A$44:$A$54,1)+1,MATCH($B$9,$B$43:$F$43,0))-INDEX($B$44:$F$54,MATCH($B$11,$A$44:$A$54,1),MATCH($B$9,$B$43:$F$43,0)))*(($B$11-INDEX($A$44:$A$54,MATCH($B$11,$A$44:$A$54,1)))/(INDEX($A$44:$A$54,MATCH($B$11,$A$44:$A$54,1)+1)-INDEX($A$44:$A$54,MATCH($B$11,$A$44:$A$54,1)))))/100)),NA())</f>
        <v>0.0341</v>
      </c>
      <c r="D17" s="12">
        <f t="shared" si="2"/>
        <v>306900000</v>
      </c>
      <c r="E17" s="12">
        <f t="shared" si="3"/>
        <v>24552000</v>
      </c>
      <c r="F17" s="12">
        <f t="shared" si="4"/>
        <v>331452000</v>
      </c>
      <c r="G17" s="5" t="s">
        <v>35</v>
      </c>
      <c r="H17" s="4"/>
      <c r="I17" s="4"/>
      <c r="J17" s="4"/>
      <c r="K17" s="4"/>
      <c r="L17" s="4"/>
      <c r="M17" s="4"/>
      <c r="N17" s="4"/>
      <c r="O17" s="4"/>
      <c r="P17" s="4"/>
      <c r="Q17" s="4"/>
      <c r="R17" s="4"/>
      <c r="S17" s="4"/>
      <c r="T17" s="4"/>
      <c r="U17" s="4"/>
      <c r="V17" s="4"/>
      <c r="W17" s="4"/>
      <c r="X17" s="4"/>
      <c r="Y17" s="4"/>
      <c r="Z17" s="4"/>
    </row>
    <row r="18" ht="15.0" customHeight="1">
      <c r="A18" s="8" t="s">
        <v>36</v>
      </c>
      <c r="B18" s="12">
        <f>$B$7+$B$8</f>
        <v>9000000000</v>
      </c>
      <c r="C18" s="11">
        <f t="array" ref="C18">IF($B$12&lt;=MIN($A$73:$A$84),INDEX($B$73:$B$84,1)/100,IF($B$12&gt;=MAX($A$73:$A$84),INDEX($B$73:$B$84,ROWS($B$73:$B$84))/100,(INDEX($B$73:$B$84,MATCH($B$12,$A$73:$A$84,1))+(INDEX($B$73:$B$84,MATCH($B$12,$A$73:$A$84,1)+1)-INDEX($B$73:$B$84,MATCH($B$12,$A$73:$A$84,1)))*(($B$12-INDEX($A$73:$A$84,MATCH($B$12,$A$73:$A$84,1)))/(INDEX($A$73:$A$84,MATCH($B$12,$A$73:$A$84,1)+1)-INDEX($A$73:$A$84,MATCH($B$12,$A$73:$A$84,1)))))/100))</f>
        <v>0.03446</v>
      </c>
      <c r="D18" s="12">
        <f t="shared" si="2"/>
        <v>310140000</v>
      </c>
      <c r="E18" s="12">
        <f t="shared" si="3"/>
        <v>24811200</v>
      </c>
      <c r="F18" s="12">
        <f t="shared" si="4"/>
        <v>334951200</v>
      </c>
      <c r="G18" s="5" t="s">
        <v>37</v>
      </c>
      <c r="H18" s="4"/>
      <c r="I18" s="4"/>
      <c r="J18" s="4"/>
      <c r="K18" s="4"/>
      <c r="L18" s="4"/>
      <c r="M18" s="4"/>
      <c r="N18" s="4"/>
      <c r="O18" s="4"/>
      <c r="P18" s="4"/>
      <c r="Q18" s="4"/>
      <c r="R18" s="4"/>
      <c r="S18" s="4"/>
      <c r="T18" s="4"/>
      <c r="U18" s="4"/>
      <c r="V18" s="4"/>
      <c r="W18" s="4"/>
      <c r="X18" s="4"/>
      <c r="Y18" s="4"/>
      <c r="Z18" s="4"/>
    </row>
    <row r="19" ht="15.0" customHeight="1">
      <c r="A19" s="8" t="s">
        <v>38</v>
      </c>
      <c r="B19" s="12">
        <f>$B$7</f>
        <v>9000000000</v>
      </c>
      <c r="C19" s="11">
        <f t="array" ref="C19">IF($B$11&lt;=MIN($A$88:$A$98),INDEX($B$88:$B$98,1)/100,IF($B$11&gt;=MAX($A$88:$A$98),INDEX($B$88:$B$98,ROWS($B$88:$B$98))/100,(INDEX($B$88:$B$98,MATCH($B$11,$A$88:$A$98,1))+(INDEX($B$88:$B$98,MATCH($B$11,$A$88:$A$98,1)+1)-INDEX($B$88:$B$98,MATCH($B$11,$A$88:$A$98,1)))*(($B$11-INDEX($A$88:$A$98,MATCH($B$11,$A$88:$A$98,1)))/(INDEX($A$88:$A$98,MATCH($B$11,$A$88:$A$98,1)+1)-INDEX($A$88:$A$98,MATCH($B$11,$A$88:$A$98,1)))))/100))</f>
        <v>0.00258</v>
      </c>
      <c r="D19" s="12">
        <f>MAX(B19*C19,2000000)</f>
        <v>23220000</v>
      </c>
      <c r="E19" s="12">
        <f t="shared" si="3"/>
        <v>1857600</v>
      </c>
      <c r="F19" s="12">
        <f t="shared" si="4"/>
        <v>25077600</v>
      </c>
      <c r="G19" s="5" t="s">
        <v>39</v>
      </c>
      <c r="H19" s="4"/>
      <c r="I19" s="4"/>
      <c r="J19" s="4"/>
      <c r="K19" s="4"/>
      <c r="L19" s="4"/>
      <c r="M19" s="4"/>
      <c r="N19" s="4"/>
      <c r="O19" s="4"/>
      <c r="P19" s="4"/>
      <c r="Q19" s="4"/>
      <c r="R19" s="4"/>
      <c r="S19" s="4"/>
      <c r="T19" s="4"/>
      <c r="U19" s="4"/>
      <c r="V19" s="4"/>
      <c r="W19" s="4"/>
      <c r="X19" s="4"/>
      <c r="Y19" s="4"/>
      <c r="Z19" s="4"/>
    </row>
    <row r="20" ht="15.0" customHeight="1">
      <c r="A20" s="7" t="s">
        <v>40</v>
      </c>
      <c r="B20" s="7"/>
      <c r="C20" s="7"/>
      <c r="D20" s="12">
        <f t="shared" ref="D20:F20" si="5">SUM(D16:D19)</f>
        <v>935910000</v>
      </c>
      <c r="E20" s="12">
        <f t="shared" si="5"/>
        <v>74872800</v>
      </c>
      <c r="F20" s="12">
        <f t="shared" si="5"/>
        <v>1010782800</v>
      </c>
      <c r="G20" s="5" t="s">
        <v>41</v>
      </c>
      <c r="H20" s="4"/>
      <c r="I20" s="4"/>
      <c r="J20" s="4"/>
      <c r="K20" s="4"/>
      <c r="L20" s="4"/>
      <c r="M20" s="4"/>
      <c r="N20" s="4"/>
      <c r="O20" s="4"/>
      <c r="P20" s="4"/>
      <c r="Q20" s="4"/>
      <c r="R20" s="4"/>
      <c r="S20" s="4"/>
      <c r="T20" s="4"/>
      <c r="U20" s="4"/>
      <c r="V20" s="4"/>
      <c r="W20" s="4"/>
      <c r="X20" s="4"/>
      <c r="Y20" s="4"/>
      <c r="Z20" s="4"/>
    </row>
    <row r="21" ht="15.75" customHeight="1">
      <c r="A21" s="8" t="s">
        <v>42</v>
      </c>
      <c r="B21" s="4"/>
      <c r="C21" s="4"/>
      <c r="D21" s="13">
        <f>D20/1000000</f>
        <v>935.91</v>
      </c>
      <c r="E21" s="4"/>
      <c r="F21" s="13">
        <f>F20/1000000</f>
        <v>1010.7828</v>
      </c>
      <c r="G21" s="5" t="s">
        <v>43</v>
      </c>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6" t="s">
        <v>44</v>
      </c>
      <c r="B24" s="2"/>
      <c r="C24" s="2"/>
      <c r="D24" s="2"/>
      <c r="E24" s="2"/>
      <c r="F24" s="2"/>
      <c r="G24" s="3"/>
      <c r="H24" s="4"/>
      <c r="I24" s="4"/>
      <c r="J24" s="4"/>
      <c r="K24" s="4"/>
      <c r="L24" s="4"/>
      <c r="M24" s="4"/>
      <c r="N24" s="4"/>
      <c r="O24" s="4"/>
      <c r="P24" s="4"/>
      <c r="Q24" s="4"/>
      <c r="R24" s="4"/>
      <c r="S24" s="4"/>
      <c r="T24" s="4"/>
      <c r="U24" s="4"/>
      <c r="V24" s="4"/>
      <c r="W24" s="4"/>
      <c r="X24" s="4"/>
      <c r="Y24" s="4"/>
      <c r="Z24" s="4"/>
    </row>
    <row r="25" ht="15.75" customHeight="1">
      <c r="A25" s="7" t="s">
        <v>45</v>
      </c>
      <c r="B25" s="7" t="s">
        <v>46</v>
      </c>
      <c r="C25" s="7" t="s">
        <v>47</v>
      </c>
      <c r="D25" s="7" t="s">
        <v>48</v>
      </c>
      <c r="E25" s="7" t="s">
        <v>49</v>
      </c>
      <c r="F25" s="7" t="s">
        <v>50</v>
      </c>
      <c r="G25" s="7" t="s">
        <v>30</v>
      </c>
      <c r="H25" s="4"/>
      <c r="I25" s="4"/>
      <c r="J25" s="4"/>
      <c r="K25" s="4"/>
      <c r="L25" s="4"/>
      <c r="M25" s="4"/>
      <c r="N25" s="4"/>
      <c r="O25" s="4"/>
      <c r="P25" s="4"/>
      <c r="Q25" s="4"/>
      <c r="R25" s="4"/>
      <c r="S25" s="4"/>
      <c r="T25" s="4"/>
      <c r="U25" s="4"/>
      <c r="V25" s="4"/>
      <c r="W25" s="4"/>
      <c r="X25" s="4"/>
      <c r="Y25" s="4"/>
      <c r="Z25" s="4"/>
    </row>
    <row r="26" ht="15.75" customHeight="1">
      <c r="A26" s="13">
        <v>1.0E10</v>
      </c>
      <c r="B26" s="12">
        <f t="shared" ref="B26:B35" si="6">A26*(IF(A26/1000000000&lt;=MIN($A$59:$A$69),INDEX($B$59:$B$69,1)/100,IF(A26/1000000000&gt;=MAX($A$59:$A$69),INDEX($B$59:$B$69,ROWS($B$59:$B$69))/100,(INDEX($B$59:$B$69,MATCH(A26/1000000000,$A$59:$A$69,1))+(INDEX($B$59:$B$69,MATCH(A26/1000000000,$A$59:$A$69,1)+1)-INDEX($B$59:$B$69,MATCH(A26/1000000000,$A$59:$A$69,1)))*((A26/1000000000-INDEX($A$59:$A$69,MATCH(A26/1000000000,$A$59:$A$69,1)))/(INDEX($A$59:$A$69,MATCH(A26/1000000000,$A$59:$A$69,1)+1)-INDEX($A$59:$A$69,MATCH(A26/1000000000,$A$59:$A$69,1)))))/100)))</f>
        <v>328500000</v>
      </c>
      <c r="C26" s="12">
        <f t="shared" ref="C26:C35" si="7">A26*(IFERROR(IF(A26/1000000000&lt;=MIN($A$44:$A$54),INDEX($B$44:$F$54,1,MATCH($B$9,$B$43:$F$43,0))/100,IF(A26/1000000000&gt;=MAX($A$44:$A$54),INDEX($B$44:$F$54,ROWS($A$44:$A$54),MATCH($B$9,$B$43:$F$43,0))/100,(INDEX($B$44:$F$54,MATCH(A26/1000000000,$A$44:$A$54,1),MATCH($B$9,$B$43:$F$43,0))+(INDEX($B$44:$F$54,MATCH(A26/1000000000,$A$44:$A$54,1)+1,MATCH($B$9,$B$43:$F$43,0))-INDEX($B$44:$F$54,MATCH(A26/1000000000,$A$44:$A$54,1),MATCH($B$9,$B$43:$F$43,0)))*((A26/1000000000-INDEX($A$44:$A$54,MATCH(A26/1000000000,$A$44:$A$54,1)))/(INDEX($A$44:$A$54,MATCH(A26/1000000000,$A$44:$A$54,1)+1)-INDEX($A$44:$A$54,MATCH(A26/1000000000,$A$44:$A$54,1)))))/100)),NA()))</f>
        <v>341000000</v>
      </c>
      <c r="D26" s="12">
        <f t="shared" ref="D26:D35" si="8">(A26+$B$8)*(IF((A26+$B$8)/1000000000&lt;=MIN($A$73:$A$84),INDEX($B$73:$B$84,1)/100,IF((A26+$B$8)/1000000000&gt;=MAX($A$73:$A$84),INDEX($B$73:$B$84,ROWS($B$73:$B$84))/100,(INDEX($B$73:$B$84,MATCH((A26+$B$8)/1000000000,$A$73:$A$84,1))+(INDEX($B$73:$B$84,MATCH((A26+$B$8)/1000000000,$A$73:$A$84,1)+1)-INDEX($B$73:$B$84,MATCH((A26+$B$8)/1000000000,$A$73:$A$84,1)))*(((A26+$B$8)/1000000000-INDEX($A$73:$A$84,MATCH((A26+$B$8)/1000000000,$A$73:$A$84,1)))/(INDEX($A$73:$A$84,MATCH((A26+$B$8)/1000000000,$A$73:$A$84,1)+1)-INDEX($A$73:$A$84,MATCH((A26+$B$8)/1000000000,$A$73:$A$84,1)))))/100)))</f>
        <v>344600000</v>
      </c>
      <c r="E26" s="12">
        <f t="shared" ref="E26:E35" si="9">MAX(A26*(IF(A26/1000000000&lt;=MIN($A$88:$A$98),INDEX($B$88:$B$98,1)/100,IF(A26/1000000000&gt;=MAX($A$88:$A$98),INDEX($B$88:$B$98,ROWS($B$88:$B$98))/100,(INDEX($B$88:$B$98,MATCH(A26/1000000000,$A$88:$A$98,1))+(INDEX($B$88:$B$98,MATCH(A26/1000000000,$A$88:$A$98,1)+1)-INDEX($B$88:$B$98,MATCH(A26/1000000000,$A$88:$A$98,1)))*((A26/1000000000-INDEX($A$88:$A$98,MATCH(A26/1000000000,$A$88:$A$98,1)))/(INDEX($A$88:$A$98,MATCH(A26/1000000000,$A$88:$A$98,1)+1)-INDEX($A$88:$A$98,MATCH(A26/1000000000,$A$88:$A$98,1)))))/100))),2000000)</f>
        <v>25800000</v>
      </c>
      <c r="F26" s="12">
        <f t="shared" ref="F26:F35" si="10">SUM(B26:E26)</f>
        <v>1039900000</v>
      </c>
      <c r="G26" s="12">
        <f t="shared" ref="G26:G35" si="11">F26*(1+$B$10)</f>
        <v>1123092000</v>
      </c>
      <c r="H26" s="4"/>
      <c r="I26" s="4"/>
      <c r="J26" s="4"/>
      <c r="K26" s="4"/>
      <c r="L26" s="4"/>
      <c r="M26" s="4"/>
      <c r="N26" s="4"/>
      <c r="O26" s="4"/>
      <c r="P26" s="4"/>
      <c r="Q26" s="4"/>
      <c r="R26" s="4"/>
      <c r="S26" s="4"/>
      <c r="T26" s="4"/>
      <c r="U26" s="4"/>
      <c r="V26" s="4"/>
      <c r="W26" s="4"/>
      <c r="X26" s="4"/>
      <c r="Y26" s="4"/>
      <c r="Z26" s="4"/>
    </row>
    <row r="27" ht="15.75" customHeight="1">
      <c r="A27" s="13">
        <v>2.0E10</v>
      </c>
      <c r="B27" s="12">
        <f t="shared" si="6"/>
        <v>570600000</v>
      </c>
      <c r="C27" s="12">
        <f t="shared" si="7"/>
        <v>590000000</v>
      </c>
      <c r="D27" s="12">
        <f t="shared" si="8"/>
        <v>584600000</v>
      </c>
      <c r="E27" s="12">
        <f t="shared" si="9"/>
        <v>44600000</v>
      </c>
      <c r="F27" s="12">
        <f t="shared" si="10"/>
        <v>1789800000</v>
      </c>
      <c r="G27" s="12">
        <f t="shared" si="11"/>
        <v>1932984000</v>
      </c>
      <c r="H27" s="4"/>
      <c r="I27" s="4"/>
      <c r="J27" s="4"/>
      <c r="K27" s="4"/>
      <c r="L27" s="4"/>
      <c r="M27" s="4"/>
      <c r="N27" s="4"/>
      <c r="O27" s="4"/>
      <c r="P27" s="4"/>
      <c r="Q27" s="4"/>
      <c r="R27" s="4"/>
      <c r="S27" s="4"/>
      <c r="T27" s="4"/>
      <c r="U27" s="4"/>
      <c r="V27" s="4"/>
      <c r="W27" s="4"/>
      <c r="X27" s="4"/>
      <c r="Y27" s="4"/>
      <c r="Z27" s="4"/>
    </row>
    <row r="28" ht="15.75" customHeight="1">
      <c r="A28" s="13">
        <v>3.0E10</v>
      </c>
      <c r="B28" s="12">
        <f t="shared" si="6"/>
        <v>814100000</v>
      </c>
      <c r="C28" s="12">
        <f t="shared" si="7"/>
        <v>838000000</v>
      </c>
      <c r="D28" s="12">
        <f t="shared" si="8"/>
        <v>845600000</v>
      </c>
      <c r="E28" s="12">
        <f t="shared" si="9"/>
        <v>61800000</v>
      </c>
      <c r="F28" s="12">
        <f t="shared" si="10"/>
        <v>2559500000</v>
      </c>
      <c r="G28" s="12">
        <f t="shared" si="11"/>
        <v>2764260000</v>
      </c>
      <c r="H28" s="4"/>
      <c r="I28" s="4"/>
      <c r="J28" s="4"/>
      <c r="K28" s="4"/>
      <c r="L28" s="4"/>
      <c r="M28" s="4"/>
      <c r="N28" s="4"/>
      <c r="O28" s="4"/>
      <c r="P28" s="4"/>
      <c r="Q28" s="4"/>
      <c r="R28" s="4"/>
      <c r="S28" s="4"/>
      <c r="T28" s="4"/>
      <c r="U28" s="4"/>
      <c r="V28" s="4"/>
      <c r="W28" s="4"/>
      <c r="X28" s="4"/>
      <c r="Y28" s="4"/>
      <c r="Z28" s="4"/>
    </row>
    <row r="29" ht="15.75" customHeight="1">
      <c r="A29" s="13">
        <v>4.0E10</v>
      </c>
      <c r="B29" s="12">
        <f t="shared" si="6"/>
        <v>1029733333</v>
      </c>
      <c r="C29" s="12">
        <f t="shared" si="7"/>
        <v>1054666667</v>
      </c>
      <c r="D29" s="12">
        <f t="shared" si="8"/>
        <v>1085733333</v>
      </c>
      <c r="E29" s="12">
        <f t="shared" si="9"/>
        <v>75600000</v>
      </c>
      <c r="F29" s="12">
        <f t="shared" si="10"/>
        <v>3245733333</v>
      </c>
      <c r="G29" s="12">
        <f t="shared" si="11"/>
        <v>3505392000</v>
      </c>
      <c r="H29" s="4"/>
      <c r="I29" s="4"/>
      <c r="J29" s="4"/>
      <c r="K29" s="4"/>
      <c r="L29" s="4"/>
      <c r="M29" s="4"/>
      <c r="N29" s="4"/>
      <c r="O29" s="4"/>
      <c r="P29" s="4"/>
      <c r="Q29" s="4"/>
      <c r="R29" s="4"/>
      <c r="S29" s="4"/>
      <c r="T29" s="4"/>
      <c r="U29" s="4"/>
      <c r="V29" s="4"/>
      <c r="W29" s="4"/>
      <c r="X29" s="4"/>
      <c r="Y29" s="4"/>
      <c r="Z29" s="4"/>
    </row>
    <row r="30" ht="15.75" customHeight="1">
      <c r="A30" s="13">
        <v>5.0E10</v>
      </c>
      <c r="B30" s="12">
        <f t="shared" si="6"/>
        <v>1217500000</v>
      </c>
      <c r="C30" s="12">
        <f t="shared" si="7"/>
        <v>1240000000</v>
      </c>
      <c r="D30" s="12">
        <f t="shared" si="8"/>
        <v>1305000000</v>
      </c>
      <c r="E30" s="12">
        <f t="shared" si="9"/>
        <v>86000000</v>
      </c>
      <c r="F30" s="12">
        <f t="shared" si="10"/>
        <v>3848500000</v>
      </c>
      <c r="G30" s="12">
        <f t="shared" si="11"/>
        <v>4156380000</v>
      </c>
      <c r="H30" s="4"/>
      <c r="I30" s="4"/>
      <c r="J30" s="4"/>
      <c r="K30" s="4"/>
      <c r="L30" s="4"/>
      <c r="M30" s="4"/>
      <c r="N30" s="4"/>
      <c r="O30" s="4"/>
      <c r="P30" s="4"/>
      <c r="Q30" s="4"/>
      <c r="R30" s="4"/>
      <c r="S30" s="4"/>
      <c r="T30" s="4"/>
      <c r="U30" s="4"/>
      <c r="V30" s="4"/>
      <c r="W30" s="4"/>
      <c r="X30" s="4"/>
      <c r="Y30" s="4"/>
      <c r="Z30" s="4"/>
    </row>
    <row r="31" ht="15.75" customHeight="1">
      <c r="A31" s="13">
        <v>6.0E10</v>
      </c>
      <c r="B31" s="12">
        <f t="shared" si="6"/>
        <v>1390200000</v>
      </c>
      <c r="C31" s="12">
        <f t="shared" si="7"/>
        <v>1460400000</v>
      </c>
      <c r="D31" s="12">
        <f t="shared" si="8"/>
        <v>1494840000</v>
      </c>
      <c r="E31" s="12">
        <f t="shared" si="9"/>
        <v>99720000</v>
      </c>
      <c r="F31" s="12">
        <f t="shared" si="10"/>
        <v>4445160000</v>
      </c>
      <c r="G31" s="12">
        <f t="shared" si="11"/>
        <v>4800772800</v>
      </c>
      <c r="H31" s="4"/>
      <c r="I31" s="4"/>
      <c r="J31" s="4"/>
      <c r="K31" s="4"/>
      <c r="L31" s="4"/>
      <c r="M31" s="4"/>
      <c r="N31" s="4"/>
      <c r="O31" s="4"/>
      <c r="P31" s="4"/>
      <c r="Q31" s="4"/>
      <c r="R31" s="4"/>
      <c r="S31" s="4"/>
      <c r="T31" s="4"/>
      <c r="U31" s="4"/>
      <c r="V31" s="4"/>
      <c r="W31" s="4"/>
      <c r="X31" s="4"/>
      <c r="Y31" s="4"/>
      <c r="Z31" s="4"/>
    </row>
    <row r="32" ht="15.75" customHeight="1">
      <c r="A32" s="13">
        <v>7.0E10</v>
      </c>
      <c r="B32" s="12">
        <f t="shared" si="6"/>
        <v>1539300000</v>
      </c>
      <c r="C32" s="12">
        <f t="shared" si="7"/>
        <v>1671600000</v>
      </c>
      <c r="D32" s="12">
        <f t="shared" si="8"/>
        <v>1660960000</v>
      </c>
      <c r="E32" s="12">
        <f t="shared" si="9"/>
        <v>112280000</v>
      </c>
      <c r="F32" s="12">
        <f t="shared" si="10"/>
        <v>4984140000</v>
      </c>
      <c r="G32" s="12">
        <f t="shared" si="11"/>
        <v>5382871200</v>
      </c>
      <c r="H32" s="4"/>
      <c r="I32" s="4"/>
      <c r="J32" s="4"/>
      <c r="K32" s="4"/>
      <c r="L32" s="4"/>
      <c r="M32" s="4"/>
      <c r="N32" s="4"/>
      <c r="O32" s="4"/>
      <c r="P32" s="4"/>
      <c r="Q32" s="4"/>
      <c r="R32" s="4"/>
      <c r="S32" s="4"/>
      <c r="T32" s="4"/>
      <c r="U32" s="4"/>
      <c r="V32" s="4"/>
      <c r="W32" s="4"/>
      <c r="X32" s="4"/>
      <c r="Y32" s="4"/>
      <c r="Z32" s="4"/>
    </row>
    <row r="33" ht="15.75" customHeight="1">
      <c r="A33" s="13">
        <v>8.0E10</v>
      </c>
      <c r="B33" s="12">
        <f t="shared" si="6"/>
        <v>1664800000</v>
      </c>
      <c r="C33" s="12">
        <f t="shared" si="7"/>
        <v>1873600000</v>
      </c>
      <c r="D33" s="12">
        <f t="shared" si="8"/>
        <v>1803360000</v>
      </c>
      <c r="E33" s="12">
        <f t="shared" si="9"/>
        <v>123680000</v>
      </c>
      <c r="F33" s="12">
        <f t="shared" si="10"/>
        <v>5465440000</v>
      </c>
      <c r="G33" s="12">
        <f t="shared" si="11"/>
        <v>5902675200</v>
      </c>
      <c r="H33" s="4"/>
      <c r="I33" s="4"/>
      <c r="J33" s="4"/>
      <c r="K33" s="4"/>
      <c r="L33" s="4"/>
      <c r="M33" s="4"/>
      <c r="N33" s="4"/>
      <c r="O33" s="4"/>
      <c r="P33" s="4"/>
      <c r="Q33" s="4"/>
      <c r="R33" s="4"/>
      <c r="S33" s="4"/>
      <c r="T33" s="4"/>
      <c r="U33" s="4"/>
      <c r="V33" s="4"/>
      <c r="W33" s="4"/>
      <c r="X33" s="4"/>
      <c r="Y33" s="4"/>
      <c r="Z33" s="4"/>
    </row>
    <row r="34" ht="15.75" customHeight="1">
      <c r="A34" s="13">
        <v>9.0E10</v>
      </c>
      <c r="B34" s="12">
        <f t="shared" si="6"/>
        <v>1766700000</v>
      </c>
      <c r="C34" s="12">
        <f t="shared" si="7"/>
        <v>2066400000</v>
      </c>
      <c r="D34" s="12">
        <f t="shared" si="8"/>
        <v>1922040000</v>
      </c>
      <c r="E34" s="12">
        <f t="shared" si="9"/>
        <v>133920000</v>
      </c>
      <c r="F34" s="12">
        <f t="shared" si="10"/>
        <v>5889060000</v>
      </c>
      <c r="G34" s="12">
        <f t="shared" si="11"/>
        <v>6360184800</v>
      </c>
      <c r="H34" s="4"/>
      <c r="I34" s="4"/>
      <c r="J34" s="4"/>
      <c r="K34" s="4"/>
      <c r="L34" s="4"/>
      <c r="M34" s="4"/>
      <c r="N34" s="4"/>
      <c r="O34" s="4"/>
      <c r="P34" s="4"/>
      <c r="Q34" s="4"/>
      <c r="R34" s="4"/>
      <c r="S34" s="4"/>
      <c r="T34" s="4"/>
      <c r="U34" s="4"/>
      <c r="V34" s="4"/>
      <c r="W34" s="4"/>
      <c r="X34" s="4"/>
      <c r="Y34" s="4"/>
      <c r="Z34" s="4"/>
    </row>
    <row r="35" ht="15.75" customHeight="1">
      <c r="A35" s="13">
        <v>1.0E11</v>
      </c>
      <c r="B35" s="12">
        <f t="shared" si="6"/>
        <v>1845000000</v>
      </c>
      <c r="C35" s="12">
        <f t="shared" si="7"/>
        <v>2250000000</v>
      </c>
      <c r="D35" s="12">
        <f t="shared" si="8"/>
        <v>2017000000</v>
      </c>
      <c r="E35" s="12">
        <f t="shared" si="9"/>
        <v>143000000</v>
      </c>
      <c r="F35" s="12">
        <f t="shared" si="10"/>
        <v>6255000000</v>
      </c>
      <c r="G35" s="12">
        <f t="shared" si="11"/>
        <v>6755400000</v>
      </c>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6" t="s">
        <v>51</v>
      </c>
      <c r="B42" s="2"/>
      <c r="C42" s="2"/>
      <c r="D42" s="2"/>
      <c r="E42" s="2"/>
      <c r="F42" s="2"/>
      <c r="G42" s="3"/>
      <c r="H42" s="4"/>
      <c r="I42" s="4"/>
      <c r="J42" s="4"/>
      <c r="K42" s="4"/>
      <c r="L42" s="4"/>
      <c r="M42" s="4"/>
      <c r="N42" s="4"/>
      <c r="O42" s="4"/>
      <c r="P42" s="4"/>
      <c r="Q42" s="4"/>
      <c r="R42" s="4"/>
      <c r="S42" s="4"/>
      <c r="T42" s="4"/>
      <c r="U42" s="4"/>
      <c r="V42" s="4"/>
      <c r="W42" s="4"/>
      <c r="X42" s="4"/>
      <c r="Y42" s="4"/>
      <c r="Z42" s="4"/>
    </row>
    <row r="43" ht="15.75" customHeight="1">
      <c r="A43" s="7" t="s">
        <v>52</v>
      </c>
      <c r="B43" s="7" t="s">
        <v>53</v>
      </c>
      <c r="C43" s="7" t="s">
        <v>54</v>
      </c>
      <c r="D43" s="7" t="s">
        <v>55</v>
      </c>
      <c r="E43" s="7" t="s">
        <v>14</v>
      </c>
      <c r="F43" s="7" t="s">
        <v>56</v>
      </c>
      <c r="G43" s="4"/>
      <c r="H43" s="4"/>
      <c r="I43" s="4"/>
      <c r="J43" s="4"/>
      <c r="K43" s="4"/>
      <c r="L43" s="4"/>
      <c r="M43" s="4"/>
      <c r="N43" s="4"/>
      <c r="O43" s="4"/>
      <c r="P43" s="4"/>
      <c r="Q43" s="4"/>
      <c r="R43" s="4"/>
      <c r="S43" s="4"/>
      <c r="T43" s="4"/>
      <c r="U43" s="4"/>
      <c r="V43" s="4"/>
      <c r="W43" s="4"/>
      <c r="X43" s="4"/>
      <c r="Y43" s="4"/>
      <c r="Z43" s="4"/>
    </row>
    <row r="44" ht="15.75" customHeight="1">
      <c r="A44" s="13">
        <v>10.0</v>
      </c>
      <c r="B44" s="14">
        <v>4.66</v>
      </c>
      <c r="C44" s="14">
        <v>4.22</v>
      </c>
      <c r="D44" s="14">
        <v>3.85</v>
      </c>
      <c r="E44" s="14">
        <v>3.41</v>
      </c>
      <c r="F44" s="14">
        <v>2.92</v>
      </c>
      <c r="G44" s="4"/>
      <c r="H44" s="4"/>
      <c r="I44" s="4"/>
      <c r="J44" s="4"/>
      <c r="K44" s="4"/>
      <c r="L44" s="4"/>
      <c r="M44" s="4"/>
      <c r="N44" s="4"/>
      <c r="O44" s="4"/>
      <c r="P44" s="4"/>
      <c r="Q44" s="4"/>
      <c r="R44" s="4"/>
      <c r="S44" s="4"/>
      <c r="T44" s="4"/>
      <c r="U44" s="4"/>
      <c r="V44" s="4"/>
      <c r="W44" s="4"/>
      <c r="X44" s="4"/>
      <c r="Y44" s="4"/>
      <c r="Z44" s="4"/>
    </row>
    <row r="45" ht="15.75" customHeight="1">
      <c r="A45" s="13">
        <v>20.0</v>
      </c>
      <c r="B45" s="14">
        <v>4.05</v>
      </c>
      <c r="C45" s="14">
        <v>3.66</v>
      </c>
      <c r="D45" s="14">
        <v>3.33</v>
      </c>
      <c r="E45" s="14">
        <v>2.95</v>
      </c>
      <c r="F45" s="14">
        <v>2.55</v>
      </c>
      <c r="G45" s="4"/>
      <c r="H45" s="4"/>
      <c r="I45" s="4"/>
      <c r="J45" s="4"/>
      <c r="K45" s="4"/>
      <c r="L45" s="4"/>
      <c r="M45" s="4"/>
      <c r="N45" s="4"/>
      <c r="O45" s="4"/>
      <c r="P45" s="4"/>
      <c r="Q45" s="4"/>
      <c r="R45" s="4"/>
      <c r="S45" s="4"/>
      <c r="T45" s="4"/>
      <c r="U45" s="4"/>
      <c r="V45" s="4"/>
      <c r="W45" s="4"/>
      <c r="X45" s="4"/>
      <c r="Y45" s="4"/>
      <c r="Z45" s="4"/>
    </row>
    <row r="46" ht="15.75" customHeight="1">
      <c r="A46" s="13">
        <v>50.0</v>
      </c>
      <c r="B46" s="14">
        <v>3.41</v>
      </c>
      <c r="C46" s="14">
        <v>3.1</v>
      </c>
      <c r="D46" s="14">
        <v>2.8</v>
      </c>
      <c r="E46" s="14">
        <v>2.48</v>
      </c>
      <c r="F46" s="14">
        <v>2.12</v>
      </c>
      <c r="G46" s="4"/>
      <c r="H46" s="4"/>
      <c r="I46" s="4"/>
      <c r="J46" s="4"/>
      <c r="K46" s="4"/>
      <c r="L46" s="4"/>
      <c r="M46" s="4"/>
      <c r="N46" s="4"/>
      <c r="O46" s="4"/>
      <c r="P46" s="4"/>
      <c r="Q46" s="4"/>
      <c r="R46" s="4"/>
      <c r="S46" s="4"/>
      <c r="T46" s="4"/>
      <c r="U46" s="4"/>
      <c r="V46" s="4"/>
      <c r="W46" s="4"/>
      <c r="X46" s="4"/>
      <c r="Y46" s="4"/>
      <c r="Z46" s="4"/>
    </row>
    <row r="47" ht="15.75" customHeight="1">
      <c r="A47" s="13">
        <v>100.0</v>
      </c>
      <c r="B47" s="14">
        <v>3.1</v>
      </c>
      <c r="C47" s="14">
        <v>2.82</v>
      </c>
      <c r="D47" s="14">
        <v>2.54</v>
      </c>
      <c r="E47" s="14">
        <v>2.25</v>
      </c>
      <c r="F47" s="14">
        <v>1.86</v>
      </c>
      <c r="G47" s="4"/>
      <c r="H47" s="4"/>
      <c r="I47" s="4"/>
      <c r="J47" s="4"/>
      <c r="K47" s="4"/>
      <c r="L47" s="4"/>
      <c r="M47" s="4"/>
      <c r="N47" s="4"/>
      <c r="O47" s="4"/>
      <c r="P47" s="4"/>
      <c r="Q47" s="4"/>
      <c r="R47" s="4"/>
      <c r="S47" s="4"/>
      <c r="T47" s="4"/>
      <c r="U47" s="4"/>
      <c r="V47" s="4"/>
      <c r="W47" s="4"/>
      <c r="X47" s="4"/>
      <c r="Y47" s="4"/>
      <c r="Z47" s="4"/>
    </row>
    <row r="48" ht="15.75" customHeight="1">
      <c r="A48" s="13">
        <v>200.0</v>
      </c>
      <c r="B48" s="14">
        <v>2.83</v>
      </c>
      <c r="C48" s="14">
        <v>2.57</v>
      </c>
      <c r="D48" s="14">
        <v>2.34</v>
      </c>
      <c r="E48" s="14">
        <v>2.07</v>
      </c>
      <c r="F48" s="14">
        <v>1.51</v>
      </c>
      <c r="G48" s="4"/>
      <c r="H48" s="4"/>
      <c r="I48" s="4"/>
      <c r="J48" s="4"/>
      <c r="K48" s="4"/>
      <c r="L48" s="4"/>
      <c r="M48" s="4"/>
      <c r="N48" s="4"/>
      <c r="O48" s="4"/>
      <c r="P48" s="4"/>
      <c r="Q48" s="4"/>
      <c r="R48" s="4"/>
      <c r="S48" s="4"/>
      <c r="T48" s="4"/>
      <c r="U48" s="4"/>
      <c r="V48" s="4"/>
      <c r="W48" s="4"/>
      <c r="X48" s="4"/>
      <c r="Y48" s="4"/>
      <c r="Z48" s="4"/>
    </row>
    <row r="49" ht="15.75" customHeight="1">
      <c r="A49" s="13">
        <v>500.0</v>
      </c>
      <c r="B49" s="14">
        <v>2.39</v>
      </c>
      <c r="C49" s="14">
        <v>2.17</v>
      </c>
      <c r="D49" s="14">
        <v>1.98</v>
      </c>
      <c r="E49" s="14">
        <v>1.75</v>
      </c>
      <c r="F49" s="14">
        <v>1.3</v>
      </c>
      <c r="G49" s="4"/>
      <c r="H49" s="4"/>
      <c r="I49" s="4"/>
      <c r="J49" s="4"/>
      <c r="K49" s="4"/>
      <c r="L49" s="4"/>
      <c r="M49" s="4"/>
      <c r="N49" s="4"/>
      <c r="O49" s="4"/>
      <c r="P49" s="4"/>
      <c r="Q49" s="4"/>
      <c r="R49" s="4"/>
      <c r="S49" s="4"/>
      <c r="T49" s="4"/>
      <c r="U49" s="4"/>
      <c r="V49" s="4"/>
      <c r="W49" s="4"/>
      <c r="X49" s="4"/>
      <c r="Y49" s="4"/>
      <c r="Z49" s="4"/>
    </row>
    <row r="50" ht="15.75" customHeight="1">
      <c r="A50" s="13">
        <v>1000.0</v>
      </c>
      <c r="B50" s="14">
        <v>1.93</v>
      </c>
      <c r="C50" s="14">
        <v>1.76</v>
      </c>
      <c r="D50" s="14">
        <v>1.61</v>
      </c>
      <c r="E50" s="14">
        <v>1.43</v>
      </c>
      <c r="F50" s="8" t="s">
        <v>57</v>
      </c>
      <c r="G50" s="4"/>
      <c r="H50" s="4"/>
      <c r="I50" s="4"/>
      <c r="J50" s="4"/>
      <c r="K50" s="4"/>
      <c r="L50" s="4"/>
      <c r="M50" s="4"/>
      <c r="N50" s="4"/>
      <c r="O50" s="4"/>
      <c r="P50" s="4"/>
      <c r="Q50" s="4"/>
      <c r="R50" s="4"/>
      <c r="S50" s="4"/>
      <c r="T50" s="4"/>
      <c r="U50" s="4"/>
      <c r="V50" s="4"/>
      <c r="W50" s="4"/>
      <c r="X50" s="4"/>
      <c r="Y50" s="4"/>
      <c r="Z50" s="4"/>
    </row>
    <row r="51" ht="15.75" customHeight="1">
      <c r="A51" s="13">
        <v>2000.0</v>
      </c>
      <c r="B51" s="14">
        <v>1.65</v>
      </c>
      <c r="C51" s="14">
        <v>1.51</v>
      </c>
      <c r="D51" s="14">
        <v>1.36</v>
      </c>
      <c r="E51" s="14">
        <v>1.2</v>
      </c>
      <c r="F51" s="8" t="s">
        <v>57</v>
      </c>
      <c r="G51" s="4"/>
      <c r="H51" s="4"/>
      <c r="I51" s="4"/>
      <c r="J51" s="4"/>
      <c r="K51" s="4"/>
      <c r="L51" s="4"/>
      <c r="M51" s="4"/>
      <c r="N51" s="4"/>
      <c r="O51" s="4"/>
      <c r="P51" s="4"/>
      <c r="Q51" s="4"/>
      <c r="R51" s="4"/>
      <c r="S51" s="4"/>
      <c r="T51" s="4"/>
      <c r="U51" s="4"/>
      <c r="V51" s="4"/>
      <c r="W51" s="4"/>
      <c r="X51" s="4"/>
      <c r="Y51" s="4"/>
      <c r="Z51" s="4"/>
    </row>
    <row r="52" ht="15.75" customHeight="1">
      <c r="A52" s="13">
        <v>5000.0</v>
      </c>
      <c r="B52" s="14">
        <v>1.28</v>
      </c>
      <c r="C52" s="14">
        <v>1.16</v>
      </c>
      <c r="D52" s="14">
        <v>1.06</v>
      </c>
      <c r="E52" s="14">
        <v>0.94</v>
      </c>
      <c r="F52" s="8" t="s">
        <v>57</v>
      </c>
      <c r="G52" s="4"/>
      <c r="H52" s="4"/>
      <c r="I52" s="4"/>
      <c r="J52" s="4"/>
      <c r="K52" s="4"/>
      <c r="L52" s="4"/>
      <c r="M52" s="4"/>
      <c r="N52" s="4"/>
      <c r="O52" s="4"/>
      <c r="P52" s="4"/>
      <c r="Q52" s="4"/>
      <c r="R52" s="4"/>
      <c r="S52" s="4"/>
      <c r="T52" s="4"/>
      <c r="U52" s="4"/>
      <c r="V52" s="4"/>
      <c r="W52" s="4"/>
      <c r="X52" s="4"/>
      <c r="Y52" s="4"/>
      <c r="Z52" s="4"/>
    </row>
    <row r="53" ht="15.75" customHeight="1">
      <c r="A53" s="13">
        <v>8000.0</v>
      </c>
      <c r="B53" s="14">
        <v>0.99</v>
      </c>
      <c r="C53" s="14">
        <v>0.9</v>
      </c>
      <c r="D53" s="14">
        <v>0.82</v>
      </c>
      <c r="E53" s="14">
        <v>0.72</v>
      </c>
      <c r="F53" s="8" t="s">
        <v>57</v>
      </c>
      <c r="G53" s="4"/>
      <c r="H53" s="4"/>
      <c r="I53" s="4"/>
      <c r="J53" s="4"/>
      <c r="K53" s="4"/>
      <c r="L53" s="4"/>
      <c r="M53" s="4"/>
      <c r="N53" s="4"/>
      <c r="O53" s="4"/>
      <c r="P53" s="4"/>
      <c r="Q53" s="4"/>
      <c r="R53" s="4"/>
      <c r="S53" s="4"/>
      <c r="T53" s="4"/>
      <c r="U53" s="4"/>
      <c r="V53" s="4"/>
      <c r="W53" s="4"/>
      <c r="X53" s="4"/>
      <c r="Y53" s="4"/>
      <c r="Z53" s="4"/>
    </row>
    <row r="54" ht="15.75" customHeight="1">
      <c r="A54" s="13">
        <v>10000.0</v>
      </c>
      <c r="B54" s="14">
        <v>0.91</v>
      </c>
      <c r="C54" s="14">
        <v>0.8</v>
      </c>
      <c r="D54" s="14">
        <v>0.72</v>
      </c>
      <c r="E54" s="14">
        <v>0.63</v>
      </c>
      <c r="F54" s="8" t="s">
        <v>57</v>
      </c>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6" t="s">
        <v>58</v>
      </c>
      <c r="B57" s="2"/>
      <c r="C57" s="2"/>
      <c r="D57" s="2"/>
      <c r="E57" s="2"/>
      <c r="F57" s="2"/>
      <c r="G57" s="3"/>
      <c r="H57" s="4"/>
      <c r="I57" s="4"/>
      <c r="J57" s="4"/>
      <c r="K57" s="4"/>
      <c r="L57" s="4"/>
      <c r="M57" s="4"/>
      <c r="N57" s="4"/>
      <c r="O57" s="4"/>
      <c r="P57" s="4"/>
      <c r="Q57" s="4"/>
      <c r="R57" s="4"/>
      <c r="S57" s="4"/>
      <c r="T57" s="4"/>
      <c r="U57" s="4"/>
      <c r="V57" s="4"/>
      <c r="W57" s="4"/>
      <c r="X57" s="4"/>
      <c r="Y57" s="4"/>
      <c r="Z57" s="4"/>
    </row>
    <row r="58" ht="15.75" customHeight="1">
      <c r="A58" s="7" t="s">
        <v>52</v>
      </c>
      <c r="B58" s="7" t="s">
        <v>59</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3">
        <v>10.0</v>
      </c>
      <c r="B59" s="14">
        <v>3.285</v>
      </c>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3">
        <v>20.0</v>
      </c>
      <c r="B60" s="14">
        <v>2.853</v>
      </c>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3">
        <v>50.0</v>
      </c>
      <c r="B61" s="14">
        <v>2.435</v>
      </c>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3">
        <v>100.0</v>
      </c>
      <c r="B62" s="14">
        <v>1.845</v>
      </c>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3">
        <v>200.0</v>
      </c>
      <c r="B63" s="14">
        <v>1.546</v>
      </c>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3">
        <v>500.0</v>
      </c>
      <c r="B64" s="14">
        <v>1.188</v>
      </c>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3">
        <v>1000.0</v>
      </c>
      <c r="B65" s="14">
        <v>0.797</v>
      </c>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3">
        <v>2000.0</v>
      </c>
      <c r="B66" s="14">
        <v>0.694</v>
      </c>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3">
        <v>5000.0</v>
      </c>
      <c r="B67" s="14">
        <v>0.62</v>
      </c>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3">
        <v>8000.0</v>
      </c>
      <c r="B68" s="14">
        <v>0.53</v>
      </c>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3">
        <v>10000.0</v>
      </c>
      <c r="B69" s="14">
        <v>0.478</v>
      </c>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6" t="s">
        <v>60</v>
      </c>
      <c r="B71" s="2"/>
      <c r="C71" s="2"/>
      <c r="D71" s="2"/>
      <c r="E71" s="2"/>
      <c r="F71" s="2"/>
      <c r="G71" s="3"/>
      <c r="H71" s="4"/>
      <c r="I71" s="4"/>
      <c r="J71" s="4"/>
      <c r="K71" s="4"/>
      <c r="L71" s="4"/>
      <c r="M71" s="4"/>
      <c r="N71" s="4"/>
      <c r="O71" s="4"/>
      <c r="P71" s="4"/>
      <c r="Q71" s="4"/>
      <c r="R71" s="4"/>
      <c r="S71" s="4"/>
      <c r="T71" s="4"/>
      <c r="U71" s="4"/>
      <c r="V71" s="4"/>
      <c r="W71" s="4"/>
      <c r="X71" s="4"/>
      <c r="Y71" s="4"/>
      <c r="Z71" s="4"/>
    </row>
    <row r="72" ht="15.75" customHeight="1">
      <c r="A72" s="7" t="s">
        <v>61</v>
      </c>
      <c r="B72" s="7" t="s">
        <v>62</v>
      </c>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3">
        <v>10.0</v>
      </c>
      <c r="B73" s="14">
        <v>3.446</v>
      </c>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3">
        <v>20.0</v>
      </c>
      <c r="B74" s="14">
        <v>2.923</v>
      </c>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13">
        <v>50.0</v>
      </c>
      <c r="B75" s="14">
        <v>2.61</v>
      </c>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3">
        <v>100.0</v>
      </c>
      <c r="B76" s="14">
        <v>2.017</v>
      </c>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13">
        <v>200.0</v>
      </c>
      <c r="B77" s="14">
        <v>1.886</v>
      </c>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3">
        <v>500.0</v>
      </c>
      <c r="B78" s="14">
        <v>1.514</v>
      </c>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13">
        <v>1000.0</v>
      </c>
      <c r="B79" s="14">
        <v>1.239</v>
      </c>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3">
        <v>2000.0</v>
      </c>
      <c r="B80" s="14">
        <v>0.958</v>
      </c>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3">
        <v>5000.0</v>
      </c>
      <c r="B81" s="14">
        <v>0.711</v>
      </c>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13">
        <v>10000.0</v>
      </c>
      <c r="B82" s="14">
        <v>0.51</v>
      </c>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3">
        <v>20000.0</v>
      </c>
      <c r="B83" s="14">
        <v>0.381</v>
      </c>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3">
        <v>30000.0</v>
      </c>
      <c r="B84" s="14">
        <v>0.305</v>
      </c>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6" t="s">
        <v>63</v>
      </c>
      <c r="B86" s="2"/>
      <c r="C86" s="2"/>
      <c r="D86" s="2"/>
      <c r="E86" s="2"/>
      <c r="F86" s="2"/>
      <c r="G86" s="3"/>
      <c r="H86" s="4"/>
      <c r="I86" s="4"/>
      <c r="J86" s="4"/>
      <c r="K86" s="4"/>
      <c r="L86" s="4"/>
      <c r="M86" s="4"/>
      <c r="N86" s="4"/>
      <c r="O86" s="4"/>
      <c r="P86" s="4"/>
      <c r="Q86" s="4"/>
      <c r="R86" s="4"/>
      <c r="S86" s="4"/>
      <c r="T86" s="4"/>
      <c r="U86" s="4"/>
      <c r="V86" s="4"/>
      <c r="W86" s="4"/>
      <c r="X86" s="4"/>
      <c r="Y86" s="4"/>
      <c r="Z86" s="4"/>
    </row>
    <row r="87" ht="15.75" customHeight="1">
      <c r="A87" s="7" t="s">
        <v>52</v>
      </c>
      <c r="B87" s="7" t="s">
        <v>64</v>
      </c>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3">
        <v>10.0</v>
      </c>
      <c r="B88" s="14">
        <v>0.258</v>
      </c>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13">
        <v>20.0</v>
      </c>
      <c r="B89" s="14">
        <v>0.223</v>
      </c>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13">
        <v>50.0</v>
      </c>
      <c r="B90" s="14">
        <v>0.172</v>
      </c>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3">
        <v>100.0</v>
      </c>
      <c r="B91" s="14">
        <v>0.143</v>
      </c>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13">
        <v>200.0</v>
      </c>
      <c r="B92" s="14">
        <v>0.108</v>
      </c>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3">
        <v>500.0</v>
      </c>
      <c r="B93" s="14">
        <v>0.083</v>
      </c>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3">
        <v>1000.0</v>
      </c>
      <c r="B94" s="14">
        <v>0.068</v>
      </c>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13">
        <v>2000.0</v>
      </c>
      <c r="B95" s="14">
        <v>0.044</v>
      </c>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3">
        <v>5000.0</v>
      </c>
      <c r="B96" s="14">
        <v>0.033</v>
      </c>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13">
        <v>8000.0</v>
      </c>
      <c r="B97" s="14">
        <v>0.028</v>
      </c>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13">
        <v>10000.0</v>
      </c>
      <c r="B98" s="14">
        <v>0.026</v>
      </c>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6" t="s">
        <v>65</v>
      </c>
      <c r="B101" s="2"/>
      <c r="C101" s="2"/>
      <c r="D101" s="2"/>
      <c r="E101" s="2"/>
      <c r="F101" s="2"/>
      <c r="G101" s="3"/>
      <c r="H101" s="4"/>
      <c r="I101" s="4"/>
      <c r="J101" s="4"/>
      <c r="K101" s="4"/>
      <c r="L101" s="4"/>
      <c r="M101" s="4"/>
      <c r="N101" s="4"/>
      <c r="O101" s="4"/>
      <c r="P101" s="4"/>
      <c r="Q101" s="4"/>
      <c r="R101" s="4"/>
      <c r="S101" s="4"/>
      <c r="T101" s="4"/>
      <c r="U101" s="4"/>
      <c r="V101" s="4"/>
      <c r="W101" s="4"/>
      <c r="X101" s="4"/>
      <c r="Y101" s="4"/>
      <c r="Z101" s="4"/>
    </row>
    <row r="102" ht="15.75" customHeight="1">
      <c r="A102" s="5" t="s">
        <v>66</v>
      </c>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5" t="s">
        <v>67</v>
      </c>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5" t="s">
        <v>68</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5" t="s">
        <v>69</v>
      </c>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5" t="s">
        <v>70</v>
      </c>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A57:G57"/>
    <mergeCell ref="A71:G71"/>
    <mergeCell ref="A86:G86"/>
    <mergeCell ref="A101:G101"/>
    <mergeCell ref="A1:G1"/>
    <mergeCell ref="A2:G2"/>
    <mergeCell ref="A3:G3"/>
    <mergeCell ref="A5:G5"/>
    <mergeCell ref="A14:G14"/>
    <mergeCell ref="A24:G24"/>
    <mergeCell ref="A42:G4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26.29"/>
    <col customWidth="1" min="3" max="5" width="20.0"/>
    <col customWidth="1" min="6" max="6" width="8.71"/>
  </cols>
  <sheetData>
    <row r="1" ht="19.5" customHeight="1">
      <c r="A1" s="15" t="s">
        <v>71</v>
      </c>
      <c r="B1" s="16"/>
      <c r="C1" s="17"/>
      <c r="D1" s="17"/>
      <c r="E1" s="17"/>
      <c r="F1" s="4"/>
      <c r="G1" s="4"/>
      <c r="H1" s="4"/>
      <c r="I1" s="4"/>
      <c r="J1" s="4"/>
      <c r="K1" s="4"/>
      <c r="L1" s="4"/>
      <c r="M1" s="4"/>
      <c r="N1" s="4"/>
      <c r="O1" s="4"/>
      <c r="P1" s="4"/>
      <c r="Q1" s="4"/>
      <c r="R1" s="4"/>
      <c r="S1" s="4"/>
      <c r="T1" s="4"/>
      <c r="U1" s="4"/>
      <c r="V1" s="4"/>
      <c r="W1" s="4"/>
      <c r="X1" s="4"/>
      <c r="Y1" s="4"/>
      <c r="Z1" s="4"/>
    </row>
    <row r="2" ht="15.0" customHeight="1">
      <c r="A2" s="18" t="s">
        <v>72</v>
      </c>
      <c r="B2" s="16"/>
      <c r="C2" s="17"/>
      <c r="D2" s="17"/>
      <c r="E2" s="17"/>
      <c r="F2" s="4"/>
      <c r="G2" s="4"/>
      <c r="H2" s="4"/>
      <c r="I2" s="4"/>
      <c r="J2" s="4"/>
      <c r="K2" s="4"/>
      <c r="L2" s="4"/>
      <c r="M2" s="4"/>
      <c r="N2" s="4"/>
      <c r="O2" s="4"/>
      <c r="P2" s="4"/>
      <c r="Q2" s="4"/>
      <c r="R2" s="4"/>
      <c r="S2" s="4"/>
      <c r="T2" s="4"/>
      <c r="U2" s="4"/>
      <c r="V2" s="4"/>
      <c r="W2" s="4"/>
      <c r="X2" s="4"/>
      <c r="Y2" s="4"/>
      <c r="Z2" s="4"/>
    </row>
    <row r="3" ht="15.0" customHeight="1">
      <c r="A3" s="17"/>
      <c r="B3" s="17"/>
      <c r="C3" s="17"/>
      <c r="D3" s="17"/>
      <c r="E3" s="17"/>
      <c r="F3" s="4"/>
      <c r="G3" s="4"/>
      <c r="H3" s="4"/>
      <c r="I3" s="4"/>
      <c r="J3" s="4"/>
      <c r="K3" s="4"/>
      <c r="L3" s="4"/>
      <c r="M3" s="4"/>
      <c r="N3" s="4"/>
      <c r="O3" s="4"/>
      <c r="P3" s="4"/>
      <c r="Q3" s="4"/>
      <c r="R3" s="4"/>
      <c r="S3" s="4"/>
      <c r="T3" s="4"/>
      <c r="U3" s="4"/>
      <c r="V3" s="4"/>
      <c r="W3" s="4"/>
      <c r="X3" s="4"/>
      <c r="Y3" s="4"/>
      <c r="Z3" s="4"/>
    </row>
    <row r="4" ht="15.0" customHeight="1">
      <c r="A4" s="19" t="s">
        <v>73</v>
      </c>
      <c r="B4" s="19" t="s">
        <v>5</v>
      </c>
      <c r="C4" s="17"/>
      <c r="D4" s="17"/>
      <c r="E4" s="17"/>
      <c r="F4" s="4"/>
      <c r="G4" s="4"/>
      <c r="H4" s="4"/>
      <c r="I4" s="4"/>
      <c r="J4" s="4"/>
      <c r="K4" s="4"/>
      <c r="L4" s="4"/>
      <c r="M4" s="4"/>
      <c r="N4" s="4"/>
      <c r="O4" s="4"/>
      <c r="P4" s="4"/>
      <c r="Q4" s="4"/>
      <c r="R4" s="4"/>
      <c r="S4" s="4"/>
      <c r="T4" s="4"/>
      <c r="U4" s="4"/>
      <c r="V4" s="4"/>
      <c r="W4" s="4"/>
      <c r="X4" s="4"/>
      <c r="Y4" s="4"/>
      <c r="Z4" s="4"/>
    </row>
    <row r="5" ht="15.0" customHeight="1">
      <c r="A5" s="20" t="s">
        <v>74</v>
      </c>
      <c r="B5" s="21">
        <v>3.0E10</v>
      </c>
      <c r="C5" s="17"/>
      <c r="D5" s="17"/>
      <c r="E5" s="17"/>
      <c r="F5" s="4"/>
      <c r="G5" s="4"/>
      <c r="H5" s="4"/>
      <c r="I5" s="4"/>
      <c r="J5" s="4"/>
      <c r="K5" s="4"/>
      <c r="L5" s="4"/>
      <c r="M5" s="4"/>
      <c r="N5" s="4"/>
      <c r="O5" s="4"/>
      <c r="P5" s="4"/>
      <c r="Q5" s="4"/>
      <c r="R5" s="4"/>
      <c r="S5" s="4"/>
      <c r="T5" s="4"/>
      <c r="U5" s="4"/>
      <c r="V5" s="4"/>
      <c r="W5" s="4"/>
      <c r="X5" s="4"/>
      <c r="Y5" s="4"/>
      <c r="Z5" s="4"/>
    </row>
    <row r="6" ht="15.0" customHeight="1">
      <c r="A6" s="20" t="s">
        <v>75</v>
      </c>
      <c r="B6" s="22">
        <f>Ty_le_chi_phi!C16</f>
        <v>0.03285</v>
      </c>
      <c r="C6" s="17"/>
      <c r="D6" s="17"/>
      <c r="E6" s="17"/>
      <c r="F6" s="4"/>
      <c r="G6" s="4"/>
      <c r="H6" s="4"/>
      <c r="I6" s="4"/>
      <c r="J6" s="4"/>
      <c r="K6" s="4"/>
      <c r="L6" s="4"/>
      <c r="M6" s="4"/>
      <c r="N6" s="4"/>
      <c r="O6" s="4"/>
      <c r="P6" s="4"/>
      <c r="Q6" s="4"/>
      <c r="R6" s="4"/>
      <c r="S6" s="4"/>
      <c r="T6" s="4"/>
      <c r="U6" s="4"/>
      <c r="V6" s="4"/>
      <c r="W6" s="4"/>
      <c r="X6" s="4"/>
      <c r="Y6" s="4"/>
      <c r="Z6" s="4"/>
    </row>
    <row r="7" ht="15.0" customHeight="1">
      <c r="A7" s="20" t="s">
        <v>76</v>
      </c>
      <c r="B7" s="22">
        <f>Ty_le_chi_phi!C17</f>
        <v>0.0341</v>
      </c>
      <c r="C7" s="17"/>
      <c r="D7" s="17"/>
      <c r="E7" s="17"/>
      <c r="F7" s="4"/>
      <c r="G7" s="4"/>
      <c r="H7" s="4"/>
      <c r="I7" s="4"/>
      <c r="J7" s="4"/>
      <c r="K7" s="4"/>
      <c r="L7" s="4"/>
      <c r="M7" s="4"/>
      <c r="N7" s="4"/>
      <c r="O7" s="4"/>
      <c r="P7" s="4"/>
      <c r="Q7" s="4"/>
      <c r="R7" s="4"/>
      <c r="S7" s="4"/>
      <c r="T7" s="4"/>
      <c r="U7" s="4"/>
      <c r="V7" s="4"/>
      <c r="W7" s="4"/>
      <c r="X7" s="4"/>
      <c r="Y7" s="4"/>
      <c r="Z7" s="4"/>
    </row>
    <row r="8" ht="15.0" customHeight="1">
      <c r="A8" s="20" t="s">
        <v>77</v>
      </c>
      <c r="B8" s="23">
        <v>0.55</v>
      </c>
      <c r="C8" s="17"/>
      <c r="D8" s="17"/>
      <c r="E8" s="17"/>
      <c r="F8" s="4"/>
      <c r="G8" s="4"/>
      <c r="H8" s="4"/>
      <c r="I8" s="4"/>
      <c r="J8" s="4"/>
      <c r="K8" s="4"/>
      <c r="L8" s="4"/>
      <c r="M8" s="4"/>
      <c r="N8" s="4"/>
      <c r="O8" s="4"/>
      <c r="P8" s="4"/>
      <c r="Q8" s="4"/>
      <c r="R8" s="4"/>
      <c r="S8" s="4"/>
      <c r="T8" s="4"/>
      <c r="U8" s="4"/>
      <c r="V8" s="4"/>
      <c r="W8" s="4"/>
      <c r="X8" s="4"/>
      <c r="Y8" s="4"/>
      <c r="Z8" s="4"/>
    </row>
    <row r="9" ht="15.0" customHeight="1">
      <c r="A9" s="20" t="s">
        <v>78</v>
      </c>
      <c r="B9" s="24">
        <v>0.35</v>
      </c>
      <c r="C9" s="17"/>
      <c r="D9" s="17"/>
      <c r="E9" s="17"/>
      <c r="F9" s="4"/>
      <c r="G9" s="4"/>
      <c r="H9" s="4"/>
      <c r="I9" s="4"/>
      <c r="J9" s="4"/>
      <c r="K9" s="4"/>
      <c r="L9" s="4"/>
      <c r="M9" s="4"/>
      <c r="N9" s="4"/>
      <c r="O9" s="4"/>
      <c r="P9" s="4"/>
      <c r="Q9" s="4"/>
      <c r="R9" s="4"/>
      <c r="S9" s="4"/>
      <c r="T9" s="4"/>
      <c r="U9" s="4"/>
      <c r="V9" s="4"/>
      <c r="W9" s="4"/>
      <c r="X9" s="4"/>
      <c r="Y9" s="4"/>
      <c r="Z9" s="4"/>
    </row>
    <row r="10" ht="15.0" customHeight="1">
      <c r="A10" s="20" t="s">
        <v>79</v>
      </c>
      <c r="B10" s="23">
        <v>0.17</v>
      </c>
      <c r="C10" s="17"/>
      <c r="D10" s="17"/>
      <c r="E10" s="17"/>
      <c r="F10" s="4"/>
      <c r="G10" s="4"/>
      <c r="H10" s="4"/>
      <c r="I10" s="4"/>
      <c r="J10" s="4"/>
      <c r="K10" s="4"/>
      <c r="L10" s="4"/>
      <c r="M10" s="4"/>
      <c r="N10" s="4"/>
      <c r="O10" s="4"/>
      <c r="P10" s="4"/>
      <c r="Q10" s="4"/>
      <c r="R10" s="4"/>
      <c r="S10" s="4"/>
      <c r="T10" s="4"/>
      <c r="U10" s="4"/>
      <c r="V10" s="4"/>
      <c r="W10" s="4"/>
      <c r="X10" s="4"/>
      <c r="Y10" s="4"/>
      <c r="Z10" s="4"/>
    </row>
    <row r="11" ht="15.0" customHeight="1">
      <c r="A11" s="20" t="s">
        <v>80</v>
      </c>
      <c r="B11" s="23">
        <v>0.9</v>
      </c>
      <c r="C11" s="17"/>
      <c r="D11" s="17"/>
      <c r="E11" s="17"/>
      <c r="F11" s="4"/>
      <c r="G11" s="4"/>
      <c r="H11" s="4"/>
      <c r="I11" s="4"/>
      <c r="J11" s="4"/>
      <c r="K11" s="4"/>
      <c r="L11" s="4"/>
      <c r="M11" s="4"/>
      <c r="N11" s="4"/>
      <c r="O11" s="4"/>
      <c r="P11" s="4"/>
      <c r="Q11" s="4"/>
      <c r="R11" s="4"/>
      <c r="S11" s="4"/>
      <c r="T11" s="4"/>
      <c r="U11" s="4"/>
      <c r="V11" s="4"/>
      <c r="W11" s="4"/>
      <c r="X11" s="4"/>
      <c r="Y11" s="4"/>
      <c r="Z11" s="4"/>
    </row>
    <row r="12" ht="15.0" customHeight="1">
      <c r="A12" s="20" t="s">
        <v>81</v>
      </c>
      <c r="B12" s="25">
        <v>1.5E7</v>
      </c>
      <c r="C12" s="17"/>
      <c r="D12" s="17"/>
      <c r="E12" s="17"/>
      <c r="F12" s="4"/>
      <c r="G12" s="4"/>
      <c r="H12" s="4"/>
      <c r="I12" s="4"/>
      <c r="J12" s="4"/>
      <c r="K12" s="4"/>
      <c r="L12" s="4"/>
      <c r="M12" s="4"/>
      <c r="N12" s="4"/>
      <c r="O12" s="4"/>
      <c r="P12" s="4"/>
      <c r="Q12" s="4"/>
      <c r="R12" s="4"/>
      <c r="S12" s="4"/>
      <c r="T12" s="4"/>
      <c r="U12" s="4"/>
      <c r="V12" s="4"/>
      <c r="W12" s="4"/>
      <c r="X12" s="4"/>
      <c r="Y12" s="4"/>
      <c r="Z12" s="4"/>
    </row>
    <row r="13" ht="15.0" customHeight="1">
      <c r="A13" s="20" t="s">
        <v>82</v>
      </c>
      <c r="B13" s="25">
        <f>IFERROR(FLOOR(B29/B14,1),0)</f>
        <v>2</v>
      </c>
      <c r="C13" s="17"/>
      <c r="D13" s="17"/>
      <c r="E13" s="17"/>
      <c r="F13" s="4"/>
      <c r="G13" s="4"/>
      <c r="H13" s="4"/>
      <c r="I13" s="4"/>
      <c r="J13" s="4"/>
      <c r="K13" s="4"/>
      <c r="L13" s="4"/>
      <c r="M13" s="4"/>
      <c r="N13" s="4"/>
      <c r="O13" s="4"/>
      <c r="P13" s="4"/>
      <c r="Q13" s="4"/>
      <c r="R13" s="4"/>
      <c r="S13" s="4"/>
      <c r="T13" s="4"/>
      <c r="U13" s="4"/>
      <c r="V13" s="4"/>
      <c r="W13" s="4"/>
      <c r="X13" s="4"/>
      <c r="Y13" s="4"/>
      <c r="Z13" s="4"/>
    </row>
    <row r="14" ht="15.0" customHeight="1">
      <c r="A14" s="20" t="s">
        <v>83</v>
      </c>
      <c r="B14" s="25">
        <v>1.5E7</v>
      </c>
      <c r="C14" s="17"/>
      <c r="D14" s="17"/>
      <c r="E14" s="17"/>
      <c r="F14" s="4"/>
      <c r="G14" s="4"/>
      <c r="H14" s="4"/>
      <c r="I14" s="4"/>
      <c r="J14" s="4"/>
      <c r="K14" s="4"/>
      <c r="L14" s="4"/>
      <c r="M14" s="4"/>
      <c r="N14" s="4"/>
      <c r="O14" s="4"/>
      <c r="P14" s="4"/>
      <c r="Q14" s="4"/>
      <c r="R14" s="4"/>
      <c r="S14" s="4"/>
      <c r="T14" s="4"/>
      <c r="U14" s="4"/>
      <c r="V14" s="4"/>
      <c r="W14" s="4"/>
      <c r="X14" s="4"/>
      <c r="Y14" s="4"/>
      <c r="Z14" s="4"/>
    </row>
    <row r="15" ht="15.0" customHeight="1">
      <c r="A15" s="20" t="s">
        <v>84</v>
      </c>
      <c r="B15" s="25">
        <v>3000000.0</v>
      </c>
      <c r="C15" s="17"/>
      <c r="D15" s="17"/>
      <c r="E15" s="17"/>
      <c r="F15" s="4"/>
      <c r="G15" s="4"/>
      <c r="H15" s="4"/>
      <c r="I15" s="4"/>
      <c r="J15" s="4"/>
      <c r="K15" s="4"/>
      <c r="L15" s="4"/>
      <c r="M15" s="4"/>
      <c r="N15" s="4"/>
      <c r="O15" s="4"/>
      <c r="P15" s="4"/>
      <c r="Q15" s="4"/>
      <c r="R15" s="4"/>
      <c r="S15" s="4"/>
      <c r="T15" s="4"/>
      <c r="U15" s="4"/>
      <c r="V15" s="4"/>
      <c r="W15" s="4"/>
      <c r="X15" s="4"/>
      <c r="Y15" s="4"/>
      <c r="Z15" s="4"/>
    </row>
    <row r="16" ht="15.0" customHeight="1">
      <c r="A16" s="20" t="s">
        <v>85</v>
      </c>
      <c r="B16" s="25">
        <v>3000000.0</v>
      </c>
      <c r="C16" s="17"/>
      <c r="D16" s="17"/>
      <c r="E16" s="17"/>
      <c r="F16" s="4"/>
      <c r="G16" s="4"/>
      <c r="H16" s="4"/>
      <c r="I16" s="4"/>
      <c r="J16" s="4"/>
      <c r="K16" s="4"/>
      <c r="L16" s="4"/>
      <c r="M16" s="4"/>
      <c r="N16" s="4"/>
      <c r="O16" s="4"/>
      <c r="P16" s="4"/>
      <c r="Q16" s="4"/>
      <c r="R16" s="4"/>
      <c r="S16" s="4"/>
      <c r="T16" s="4"/>
      <c r="U16" s="4"/>
      <c r="V16" s="4"/>
      <c r="W16" s="4"/>
      <c r="X16" s="4"/>
      <c r="Y16" s="4"/>
      <c r="Z16" s="4"/>
    </row>
    <row r="17" ht="15.0" customHeight="1">
      <c r="A17" s="20" t="s">
        <v>86</v>
      </c>
      <c r="B17" s="25">
        <v>5000000.0</v>
      </c>
      <c r="C17" s="17"/>
      <c r="D17" s="17"/>
      <c r="E17" s="17"/>
      <c r="F17" s="4"/>
      <c r="G17" s="4"/>
      <c r="H17" s="4"/>
      <c r="I17" s="4"/>
      <c r="J17" s="4"/>
      <c r="K17" s="4"/>
      <c r="L17" s="4"/>
      <c r="M17" s="4"/>
      <c r="N17" s="4"/>
      <c r="O17" s="4"/>
      <c r="P17" s="4"/>
      <c r="Q17" s="4"/>
      <c r="R17" s="4"/>
      <c r="S17" s="4"/>
      <c r="T17" s="4"/>
      <c r="U17" s="4"/>
      <c r="V17" s="4"/>
      <c r="W17" s="4"/>
      <c r="X17" s="4"/>
      <c r="Y17" s="4"/>
      <c r="Z17" s="4"/>
    </row>
    <row r="18" ht="15.0" customHeight="1">
      <c r="A18" s="20" t="s">
        <v>87</v>
      </c>
      <c r="B18" s="25">
        <v>3000000.0</v>
      </c>
      <c r="C18" s="17"/>
      <c r="D18" s="17"/>
      <c r="E18" s="17"/>
      <c r="F18" s="4"/>
      <c r="G18" s="4"/>
      <c r="H18" s="4"/>
      <c r="I18" s="4"/>
      <c r="J18" s="4"/>
      <c r="K18" s="4"/>
      <c r="L18" s="4"/>
      <c r="M18" s="4"/>
      <c r="N18" s="4"/>
      <c r="O18" s="4"/>
      <c r="P18" s="4"/>
      <c r="Q18" s="4"/>
      <c r="R18" s="4"/>
      <c r="S18" s="4"/>
      <c r="T18" s="4"/>
      <c r="U18" s="4"/>
      <c r="V18" s="4"/>
      <c r="W18" s="4"/>
      <c r="X18" s="4"/>
      <c r="Y18" s="4"/>
      <c r="Z18" s="4"/>
    </row>
    <row r="19" ht="15.0" customHeight="1">
      <c r="A19" s="20" t="s">
        <v>88</v>
      </c>
      <c r="B19" s="23">
        <v>0.215</v>
      </c>
      <c r="C19" s="17"/>
      <c r="D19" s="17"/>
      <c r="E19" s="17"/>
      <c r="F19" s="4"/>
      <c r="G19" s="4"/>
      <c r="H19" s="4"/>
      <c r="I19" s="4"/>
      <c r="J19" s="4"/>
      <c r="K19" s="4"/>
      <c r="L19" s="4"/>
      <c r="M19" s="4"/>
      <c r="N19" s="4"/>
      <c r="O19" s="4"/>
      <c r="P19" s="4"/>
      <c r="Q19" s="4"/>
      <c r="R19" s="4"/>
      <c r="S19" s="4"/>
      <c r="T19" s="4"/>
      <c r="U19" s="4"/>
      <c r="V19" s="4"/>
      <c r="W19" s="4"/>
      <c r="X19" s="4"/>
      <c r="Y19" s="4"/>
      <c r="Z19" s="4"/>
    </row>
    <row r="20" ht="15.0" customHeight="1">
      <c r="A20" s="20" t="s">
        <v>89</v>
      </c>
      <c r="B20" s="23">
        <v>1.0</v>
      </c>
      <c r="C20" s="17"/>
      <c r="D20" s="17"/>
      <c r="E20" s="17"/>
      <c r="F20" s="4"/>
      <c r="G20" s="4"/>
      <c r="H20" s="4"/>
      <c r="I20" s="4"/>
      <c r="J20" s="4"/>
      <c r="K20" s="4"/>
      <c r="L20" s="4"/>
      <c r="M20" s="4"/>
      <c r="N20" s="4"/>
      <c r="O20" s="4"/>
      <c r="P20" s="4"/>
      <c r="Q20" s="4"/>
      <c r="R20" s="4"/>
      <c r="S20" s="4"/>
      <c r="T20" s="4"/>
      <c r="U20" s="4"/>
      <c r="V20" s="4"/>
      <c r="W20" s="4"/>
      <c r="X20" s="4"/>
      <c r="Y20" s="4"/>
      <c r="Z20" s="4"/>
    </row>
    <row r="21" ht="15.0" customHeight="1">
      <c r="A21" s="20" t="s">
        <v>16</v>
      </c>
      <c r="B21" s="23">
        <v>0.08</v>
      </c>
      <c r="C21" s="17"/>
      <c r="D21" s="17"/>
      <c r="E21" s="17"/>
      <c r="F21" s="4"/>
      <c r="G21" s="4"/>
      <c r="H21" s="4"/>
      <c r="I21" s="4"/>
      <c r="J21" s="4"/>
      <c r="K21" s="4"/>
      <c r="L21" s="4"/>
      <c r="M21" s="4"/>
      <c r="N21" s="4"/>
      <c r="O21" s="4"/>
      <c r="P21" s="4"/>
      <c r="Q21" s="4"/>
      <c r="R21" s="4"/>
      <c r="S21" s="4"/>
      <c r="T21" s="4"/>
      <c r="U21" s="4"/>
      <c r="V21" s="4"/>
      <c r="W21" s="4"/>
      <c r="X21" s="4"/>
      <c r="Y21" s="4"/>
      <c r="Z21" s="4"/>
    </row>
    <row r="22" ht="15.0" customHeight="1">
      <c r="A22" s="20" t="s">
        <v>90</v>
      </c>
      <c r="B22" s="23">
        <v>1.0</v>
      </c>
      <c r="C22" s="17"/>
      <c r="D22" s="17"/>
      <c r="E22" s="17"/>
      <c r="F22" s="4"/>
      <c r="G22" s="4"/>
      <c r="H22" s="4"/>
      <c r="I22" s="4"/>
      <c r="J22" s="4"/>
      <c r="K22" s="4"/>
      <c r="L22" s="4"/>
      <c r="M22" s="4"/>
      <c r="N22" s="4"/>
      <c r="O22" s="4"/>
      <c r="P22" s="4"/>
      <c r="Q22" s="4"/>
      <c r="R22" s="4"/>
      <c r="S22" s="4"/>
      <c r="T22" s="4"/>
      <c r="U22" s="4"/>
      <c r="V22" s="4"/>
      <c r="W22" s="4"/>
      <c r="X22" s="4"/>
      <c r="Y22" s="4"/>
      <c r="Z22" s="4"/>
    </row>
    <row r="23" ht="15.0" customHeight="1">
      <c r="A23" s="20" t="s">
        <v>91</v>
      </c>
      <c r="B23" s="23">
        <v>0.05</v>
      </c>
      <c r="C23" s="17"/>
      <c r="D23" s="17"/>
      <c r="E23" s="17"/>
      <c r="F23" s="4"/>
      <c r="G23" s="4"/>
      <c r="H23" s="4"/>
      <c r="I23" s="4"/>
      <c r="J23" s="4"/>
      <c r="K23" s="4"/>
      <c r="L23" s="4"/>
      <c r="M23" s="4"/>
      <c r="N23" s="4"/>
      <c r="O23" s="4"/>
      <c r="P23" s="4"/>
      <c r="Q23" s="4"/>
      <c r="R23" s="4"/>
      <c r="S23" s="4"/>
      <c r="T23" s="4"/>
      <c r="U23" s="4"/>
      <c r="V23" s="4"/>
      <c r="W23" s="4"/>
      <c r="X23" s="4"/>
      <c r="Y23" s="4"/>
      <c r="Z23" s="4"/>
    </row>
    <row r="24" ht="15.0" customHeight="1">
      <c r="A24" s="20" t="s">
        <v>92</v>
      </c>
      <c r="B24" s="23">
        <v>0.9</v>
      </c>
      <c r="C24" s="17"/>
      <c r="D24" s="17"/>
      <c r="E24" s="17"/>
      <c r="F24" s="4"/>
      <c r="G24" s="4"/>
      <c r="H24" s="4"/>
      <c r="I24" s="4"/>
      <c r="J24" s="4"/>
      <c r="K24" s="4"/>
      <c r="L24" s="4"/>
      <c r="M24" s="4"/>
      <c r="N24" s="4"/>
      <c r="O24" s="4"/>
      <c r="P24" s="4"/>
      <c r="Q24" s="4"/>
      <c r="R24" s="4"/>
      <c r="S24" s="4"/>
      <c r="T24" s="4"/>
      <c r="U24" s="4"/>
      <c r="V24" s="4"/>
      <c r="W24" s="4"/>
      <c r="X24" s="4"/>
      <c r="Y24" s="4"/>
      <c r="Z24" s="4"/>
    </row>
    <row r="25" ht="15.75" customHeight="1">
      <c r="A25" s="17"/>
      <c r="B25" s="17"/>
      <c r="C25" s="17"/>
      <c r="D25" s="17"/>
      <c r="E25" s="17"/>
      <c r="F25" s="4"/>
      <c r="G25" s="4"/>
      <c r="H25" s="4"/>
      <c r="I25" s="4"/>
      <c r="J25" s="4"/>
      <c r="K25" s="4"/>
      <c r="L25" s="4"/>
      <c r="M25" s="4"/>
      <c r="N25" s="4"/>
      <c r="O25" s="4"/>
      <c r="P25" s="4"/>
      <c r="Q25" s="4"/>
      <c r="R25" s="4"/>
      <c r="S25" s="4"/>
      <c r="T25" s="4"/>
      <c r="U25" s="4"/>
      <c r="V25" s="4"/>
      <c r="W25" s="4"/>
      <c r="X25" s="4"/>
      <c r="Y25" s="4"/>
      <c r="Z25" s="4"/>
    </row>
    <row r="26" ht="15.75" customHeight="1">
      <c r="A26" s="26" t="s">
        <v>93</v>
      </c>
      <c r="B26" s="27"/>
      <c r="C26" s="17"/>
      <c r="D26" s="17"/>
      <c r="E26" s="17"/>
      <c r="F26" s="4"/>
      <c r="G26" s="4"/>
      <c r="H26" s="4"/>
      <c r="I26" s="4"/>
      <c r="J26" s="4"/>
      <c r="K26" s="4"/>
      <c r="L26" s="4"/>
      <c r="M26" s="4"/>
      <c r="N26" s="4"/>
      <c r="O26" s="4"/>
      <c r="P26" s="4"/>
      <c r="Q26" s="4"/>
      <c r="R26" s="4"/>
      <c r="S26" s="4"/>
      <c r="T26" s="4"/>
      <c r="U26" s="4"/>
      <c r="V26" s="4"/>
      <c r="W26" s="4"/>
      <c r="X26" s="4"/>
      <c r="Y26" s="4"/>
      <c r="Z26" s="4"/>
    </row>
    <row r="27" ht="15.75" customHeight="1">
      <c r="A27" s="28" t="s">
        <v>94</v>
      </c>
      <c r="B27" s="22">
        <v>0.2</v>
      </c>
      <c r="C27" s="17"/>
      <c r="D27" s="17"/>
      <c r="E27" s="17"/>
      <c r="F27" s="4"/>
      <c r="G27" s="4"/>
      <c r="H27" s="4"/>
      <c r="I27" s="4"/>
      <c r="J27" s="4"/>
      <c r="K27" s="4"/>
      <c r="L27" s="4"/>
      <c r="M27" s="4"/>
      <c r="N27" s="4"/>
      <c r="O27" s="4"/>
      <c r="P27" s="4"/>
      <c r="Q27" s="4"/>
      <c r="R27" s="4"/>
      <c r="S27" s="4"/>
      <c r="T27" s="4"/>
      <c r="U27" s="4"/>
      <c r="V27" s="4"/>
      <c r="W27" s="4"/>
      <c r="X27" s="4"/>
      <c r="Y27" s="4"/>
      <c r="Z27" s="4"/>
    </row>
    <row r="28" ht="15.75" customHeight="1">
      <c r="A28" s="28" t="s">
        <v>95</v>
      </c>
      <c r="B28" s="25">
        <f>B27*Tinh_toan!B6</f>
        <v>401700000</v>
      </c>
      <c r="C28" s="17"/>
      <c r="D28" s="17"/>
      <c r="E28" s="17"/>
      <c r="F28" s="4"/>
      <c r="G28" s="4"/>
      <c r="H28" s="4"/>
      <c r="I28" s="4"/>
      <c r="J28" s="4"/>
      <c r="K28" s="4"/>
      <c r="L28" s="4"/>
      <c r="M28" s="4"/>
      <c r="N28" s="4"/>
      <c r="O28" s="4"/>
      <c r="P28" s="4"/>
      <c r="Q28" s="4"/>
      <c r="R28" s="4"/>
      <c r="S28" s="4"/>
      <c r="T28" s="4"/>
      <c r="U28" s="4"/>
      <c r="V28" s="4"/>
      <c r="W28" s="4"/>
      <c r="X28" s="4"/>
      <c r="Y28" s="4"/>
      <c r="Z28" s="4"/>
    </row>
    <row r="29" ht="15.75" customHeight="1">
      <c r="A29" s="28" t="s">
        <v>96</v>
      </c>
      <c r="B29" s="25">
        <f>B28/12</f>
        <v>33475000</v>
      </c>
      <c r="C29" s="17"/>
      <c r="D29" s="17"/>
      <c r="E29" s="17"/>
      <c r="F29" s="4"/>
      <c r="G29" s="4"/>
      <c r="H29" s="4"/>
      <c r="I29" s="4"/>
      <c r="J29" s="4"/>
      <c r="K29" s="4"/>
      <c r="L29" s="4"/>
      <c r="M29" s="4"/>
      <c r="N29" s="4"/>
      <c r="O29" s="4"/>
      <c r="P29" s="4"/>
      <c r="Q29" s="4"/>
      <c r="R29" s="4"/>
      <c r="S29" s="4"/>
      <c r="T29" s="4"/>
      <c r="U29" s="4"/>
      <c r="V29" s="4"/>
      <c r="W29" s="4"/>
      <c r="X29" s="4"/>
      <c r="Y29" s="4"/>
      <c r="Z29" s="4"/>
    </row>
    <row r="30" ht="15.75" customHeight="1">
      <c r="A30" s="28" t="s">
        <v>97</v>
      </c>
      <c r="B30" s="25">
        <f>B13*B14*12</f>
        <v>360000000</v>
      </c>
      <c r="C30" s="17"/>
      <c r="D30" s="17"/>
      <c r="E30" s="17"/>
      <c r="F30" s="4"/>
      <c r="G30" s="4"/>
      <c r="H30" s="4"/>
      <c r="I30" s="4"/>
      <c r="J30" s="4"/>
      <c r="K30" s="4"/>
      <c r="L30" s="4"/>
      <c r="M30" s="4"/>
      <c r="N30" s="4"/>
      <c r="O30" s="4"/>
      <c r="P30" s="4"/>
      <c r="Q30" s="4"/>
      <c r="R30" s="4"/>
      <c r="S30" s="4"/>
      <c r="T30" s="4"/>
      <c r="U30" s="4"/>
      <c r="V30" s="4"/>
      <c r="W30" s="4"/>
      <c r="X30" s="4"/>
      <c r="Y30" s="4"/>
      <c r="Z30" s="4"/>
    </row>
    <row r="31" ht="15.75" customHeight="1">
      <c r="A31" s="28" t="s">
        <v>98</v>
      </c>
      <c r="B31" s="25">
        <f>B30/12</f>
        <v>30000000</v>
      </c>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28" t="s">
        <v>99</v>
      </c>
      <c r="B32" s="22">
        <f>IF(Tinh_toan!B6=0,0,B30/Tinh_toan!B6)</f>
        <v>0.1792382375</v>
      </c>
      <c r="C32" s="17"/>
      <c r="D32" s="17"/>
      <c r="E32" s="17"/>
      <c r="F32" s="4"/>
      <c r="G32" s="4"/>
      <c r="H32" s="4"/>
      <c r="I32" s="4"/>
      <c r="J32" s="4"/>
      <c r="K32" s="4"/>
      <c r="L32" s="4"/>
      <c r="M32" s="4"/>
      <c r="N32" s="4"/>
      <c r="O32" s="4"/>
      <c r="P32" s="4"/>
      <c r="Q32" s="4"/>
      <c r="R32" s="4"/>
      <c r="S32" s="4"/>
      <c r="T32" s="4"/>
      <c r="U32" s="4"/>
      <c r="V32" s="4"/>
      <c r="W32" s="4"/>
      <c r="X32" s="4"/>
      <c r="Y32" s="4"/>
      <c r="Z32" s="4"/>
    </row>
    <row r="33" ht="15.75" customHeight="1">
      <c r="A33" s="17"/>
      <c r="B33" s="17"/>
      <c r="C33" s="17"/>
      <c r="D33" s="17"/>
      <c r="E33" s="17"/>
      <c r="F33" s="4"/>
      <c r="G33" s="4"/>
      <c r="H33" s="4"/>
      <c r="I33" s="4"/>
      <c r="J33" s="4"/>
      <c r="K33" s="4"/>
      <c r="L33" s="4"/>
      <c r="M33" s="4"/>
      <c r="N33" s="4"/>
      <c r="O33" s="4"/>
      <c r="P33" s="4"/>
      <c r="Q33" s="4"/>
      <c r="R33" s="4"/>
      <c r="S33" s="4"/>
      <c r="T33" s="4"/>
      <c r="U33" s="4"/>
      <c r="V33" s="4"/>
      <c r="W33" s="4"/>
      <c r="X33" s="4"/>
      <c r="Y33" s="4"/>
      <c r="Z33" s="4"/>
    </row>
    <row r="34" ht="15.75" customHeight="1">
      <c r="A34" s="28" t="s">
        <v>100</v>
      </c>
      <c r="B34" s="24">
        <v>0.02</v>
      </c>
      <c r="C34" s="17"/>
      <c r="D34" s="17"/>
      <c r="E34" s="17"/>
      <c r="F34" s="4"/>
      <c r="G34" s="4"/>
      <c r="H34" s="4"/>
      <c r="I34" s="4"/>
      <c r="J34" s="4"/>
      <c r="K34" s="4"/>
      <c r="L34" s="4"/>
      <c r="M34" s="4"/>
      <c r="N34" s="4"/>
      <c r="O34" s="4"/>
      <c r="P34" s="4"/>
      <c r="Q34" s="4"/>
      <c r="R34" s="4"/>
      <c r="S34" s="4"/>
      <c r="T34" s="4"/>
      <c r="U34" s="4"/>
      <c r="V34" s="4"/>
      <c r="W34" s="4"/>
      <c r="X34" s="4"/>
      <c r="Y34" s="4"/>
      <c r="Z34" s="4"/>
    </row>
    <row r="35" ht="15.75" customHeight="1">
      <c r="A35" s="17"/>
      <c r="B35" s="17"/>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17"/>
      <c r="B36" s="17"/>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17"/>
      <c r="B37" s="17"/>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17"/>
      <c r="B231" s="17"/>
      <c r="C231" s="17"/>
      <c r="D231" s="17"/>
      <c r="E231" s="17"/>
      <c r="F231" s="4"/>
      <c r="G231" s="4"/>
      <c r="H231" s="4"/>
      <c r="I231" s="4"/>
      <c r="J231" s="4"/>
      <c r="K231" s="4"/>
      <c r="L231" s="4"/>
      <c r="M231" s="4"/>
      <c r="N231" s="4"/>
      <c r="O231" s="4"/>
      <c r="P231" s="4"/>
      <c r="Q231" s="4"/>
      <c r="R231" s="4"/>
      <c r="S231" s="4"/>
      <c r="T231" s="4"/>
      <c r="U231" s="4"/>
      <c r="V231" s="4"/>
      <c r="W231" s="4"/>
      <c r="X231" s="4"/>
      <c r="Y231" s="4"/>
      <c r="Z231" s="4"/>
    </row>
    <row r="232" ht="15.75" customHeight="1">
      <c r="A232" s="17"/>
      <c r="B232" s="17"/>
      <c r="C232" s="17"/>
      <c r="D232" s="17"/>
      <c r="E232" s="17"/>
      <c r="F232" s="4"/>
      <c r="G232" s="4"/>
      <c r="H232" s="4"/>
      <c r="I232" s="4"/>
      <c r="J232" s="4"/>
      <c r="K232" s="4"/>
      <c r="L232" s="4"/>
      <c r="M232" s="4"/>
      <c r="N232" s="4"/>
      <c r="O232" s="4"/>
      <c r="P232" s="4"/>
      <c r="Q232" s="4"/>
      <c r="R232" s="4"/>
      <c r="S232" s="4"/>
      <c r="T232" s="4"/>
      <c r="U232" s="4"/>
      <c r="V232" s="4"/>
      <c r="W232" s="4"/>
      <c r="X232" s="4"/>
      <c r="Y232" s="4"/>
      <c r="Z232" s="4"/>
    </row>
    <row r="233" ht="15.75" customHeight="1">
      <c r="A233" s="17"/>
      <c r="B233" s="17"/>
      <c r="C233" s="17"/>
      <c r="D233" s="17"/>
      <c r="E233" s="17"/>
      <c r="F233" s="4"/>
      <c r="G233" s="4"/>
      <c r="H233" s="4"/>
      <c r="I233" s="4"/>
      <c r="J233" s="4"/>
      <c r="K233" s="4"/>
      <c r="L233" s="4"/>
      <c r="M233" s="4"/>
      <c r="N233" s="4"/>
      <c r="O233" s="4"/>
      <c r="P233" s="4"/>
      <c r="Q233" s="4"/>
      <c r="R233" s="4"/>
      <c r="S233" s="4"/>
      <c r="T233" s="4"/>
      <c r="U233" s="4"/>
      <c r="V233" s="4"/>
      <c r="W233" s="4"/>
      <c r="X233" s="4"/>
      <c r="Y233" s="4"/>
      <c r="Z233" s="4"/>
    </row>
    <row r="234" ht="15.75" customHeight="1">
      <c r="A234" s="17"/>
      <c r="B234" s="17"/>
      <c r="C234" s="17"/>
      <c r="D234" s="17"/>
      <c r="E234" s="17"/>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B1"/>
    <mergeCell ref="A2:B2"/>
  </mergeCells>
  <printOptions/>
  <pageMargins bottom="0.984027777777778" footer="0.0" header="0.0" left="0.747916666666667" right="0.747916666666667" top="0.984027777777778"/>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6.0"/>
    <col customWidth="1" min="2" max="5" width="20.0"/>
    <col customWidth="1" min="6" max="6" width="8.71"/>
  </cols>
  <sheetData>
    <row r="1" ht="19.5" customHeight="1">
      <c r="A1" s="15" t="s">
        <v>101</v>
      </c>
      <c r="B1" s="16"/>
      <c r="C1" s="17"/>
      <c r="D1" s="17"/>
      <c r="E1" s="17"/>
      <c r="F1" s="4"/>
      <c r="G1" s="4"/>
      <c r="H1" s="4"/>
      <c r="I1" s="4"/>
      <c r="J1" s="4"/>
      <c r="K1" s="4"/>
      <c r="L1" s="4"/>
      <c r="M1" s="4"/>
      <c r="N1" s="4"/>
      <c r="O1" s="4"/>
      <c r="P1" s="4"/>
      <c r="Q1" s="4"/>
      <c r="R1" s="4"/>
      <c r="S1" s="4"/>
      <c r="T1" s="4"/>
      <c r="U1" s="4"/>
      <c r="V1" s="4"/>
      <c r="W1" s="4"/>
      <c r="X1" s="4"/>
      <c r="Y1" s="4"/>
      <c r="Z1" s="4"/>
    </row>
    <row r="2" ht="15.0" customHeight="1">
      <c r="A2" s="17"/>
      <c r="B2" s="17"/>
      <c r="C2" s="17"/>
      <c r="D2" s="17"/>
      <c r="E2" s="17"/>
      <c r="F2" s="4"/>
      <c r="G2" s="4"/>
      <c r="H2" s="4"/>
      <c r="I2" s="4"/>
      <c r="J2" s="4"/>
      <c r="K2" s="4"/>
      <c r="L2" s="4"/>
      <c r="M2" s="4"/>
      <c r="N2" s="4"/>
      <c r="O2" s="4"/>
      <c r="P2" s="4"/>
      <c r="Q2" s="4"/>
      <c r="R2" s="4"/>
      <c r="S2" s="4"/>
      <c r="T2" s="4"/>
      <c r="U2" s="4"/>
      <c r="V2" s="4"/>
      <c r="W2" s="4"/>
      <c r="X2" s="4"/>
      <c r="Y2" s="4"/>
      <c r="Z2" s="4"/>
    </row>
    <row r="3" ht="15.0" customHeight="1">
      <c r="A3" s="29" t="s">
        <v>102</v>
      </c>
      <c r="B3" s="17"/>
      <c r="C3" s="17"/>
      <c r="D3" s="17"/>
      <c r="E3" s="17"/>
      <c r="F3" s="4"/>
      <c r="G3" s="4"/>
      <c r="H3" s="4"/>
      <c r="I3" s="4"/>
      <c r="J3" s="4"/>
      <c r="K3" s="4"/>
      <c r="L3" s="4"/>
      <c r="M3" s="4"/>
      <c r="N3" s="4"/>
      <c r="O3" s="4"/>
      <c r="P3" s="4"/>
      <c r="Q3" s="4"/>
      <c r="R3" s="4"/>
      <c r="S3" s="4"/>
      <c r="T3" s="4"/>
      <c r="U3" s="4"/>
      <c r="V3" s="4"/>
      <c r="W3" s="4"/>
      <c r="X3" s="4"/>
      <c r="Y3" s="4"/>
      <c r="Z3" s="4"/>
    </row>
    <row r="4" ht="15.0" customHeight="1">
      <c r="A4" s="28" t="s">
        <v>103</v>
      </c>
      <c r="B4" s="30">
        <f>Dau_vao!B5*Dau_vao!B6</f>
        <v>985500000</v>
      </c>
      <c r="C4" s="17"/>
      <c r="D4" s="17"/>
      <c r="E4" s="17"/>
      <c r="F4" s="4"/>
      <c r="G4" s="4"/>
      <c r="H4" s="4"/>
      <c r="I4" s="4"/>
      <c r="J4" s="4"/>
      <c r="K4" s="4"/>
      <c r="L4" s="4"/>
      <c r="M4" s="4"/>
      <c r="N4" s="4"/>
      <c r="O4" s="4"/>
      <c r="P4" s="4"/>
      <c r="Q4" s="4"/>
      <c r="R4" s="4"/>
      <c r="S4" s="4"/>
      <c r="T4" s="4"/>
      <c r="U4" s="4"/>
      <c r="V4" s="4"/>
      <c r="W4" s="4"/>
      <c r="X4" s="4"/>
      <c r="Y4" s="4"/>
      <c r="Z4" s="4"/>
    </row>
    <row r="5" ht="15.0" customHeight="1">
      <c r="A5" s="28" t="s">
        <v>104</v>
      </c>
      <c r="B5" s="30">
        <f>Dau_vao!B5*Dau_vao!B7</f>
        <v>1023000000</v>
      </c>
      <c r="C5" s="17"/>
      <c r="D5" s="17"/>
      <c r="E5" s="17"/>
      <c r="F5" s="4"/>
      <c r="G5" s="4"/>
      <c r="H5" s="4"/>
      <c r="I5" s="4"/>
      <c r="J5" s="4"/>
      <c r="K5" s="4"/>
      <c r="L5" s="4"/>
      <c r="M5" s="4"/>
      <c r="N5" s="4"/>
      <c r="O5" s="4"/>
      <c r="P5" s="4"/>
      <c r="Q5" s="4"/>
      <c r="R5" s="4"/>
      <c r="S5" s="4"/>
      <c r="T5" s="4"/>
      <c r="U5" s="4"/>
      <c r="V5" s="4"/>
      <c r="W5" s="4"/>
      <c r="X5" s="4"/>
      <c r="Y5" s="4"/>
      <c r="Z5" s="4"/>
    </row>
    <row r="6" ht="15.0" customHeight="1">
      <c r="A6" s="28" t="s">
        <v>105</v>
      </c>
      <c r="B6" s="31">
        <f>SUM(B4:B5)</f>
        <v>2008500000</v>
      </c>
      <c r="C6" s="17"/>
      <c r="D6" s="17"/>
      <c r="E6" s="17"/>
      <c r="F6" s="4"/>
      <c r="G6" s="4"/>
      <c r="H6" s="4"/>
      <c r="I6" s="4"/>
      <c r="J6" s="4"/>
      <c r="K6" s="4"/>
      <c r="L6" s="4"/>
      <c r="M6" s="4"/>
      <c r="N6" s="4"/>
      <c r="O6" s="4"/>
      <c r="P6" s="4"/>
      <c r="Q6" s="4"/>
      <c r="R6" s="4"/>
      <c r="S6" s="4"/>
      <c r="T6" s="4"/>
      <c r="U6" s="4"/>
      <c r="V6" s="4"/>
      <c r="W6" s="4"/>
      <c r="X6" s="4"/>
      <c r="Y6" s="4"/>
      <c r="Z6" s="4"/>
    </row>
    <row r="7" ht="15.0" customHeight="1">
      <c r="A7" s="17"/>
      <c r="B7" s="17"/>
      <c r="C7" s="17"/>
      <c r="D7" s="17"/>
      <c r="E7" s="17"/>
      <c r="F7" s="4"/>
      <c r="G7" s="4"/>
      <c r="H7" s="4"/>
      <c r="I7" s="4"/>
      <c r="J7" s="4"/>
      <c r="K7" s="4"/>
      <c r="L7" s="4"/>
      <c r="M7" s="4"/>
      <c r="N7" s="4"/>
      <c r="O7" s="4"/>
      <c r="P7" s="4"/>
      <c r="Q7" s="4"/>
      <c r="R7" s="4"/>
      <c r="S7" s="4"/>
      <c r="T7" s="4"/>
      <c r="U7" s="4"/>
      <c r="V7" s="4"/>
      <c r="W7" s="4"/>
      <c r="X7" s="4"/>
      <c r="Y7" s="4"/>
      <c r="Z7" s="4"/>
    </row>
    <row r="8" ht="15.0" customHeight="1">
      <c r="A8" s="29" t="s">
        <v>106</v>
      </c>
      <c r="B8" s="17"/>
      <c r="C8" s="17"/>
      <c r="D8" s="17"/>
      <c r="E8" s="17"/>
      <c r="F8" s="4"/>
      <c r="G8" s="4"/>
      <c r="H8" s="4"/>
      <c r="I8" s="4"/>
      <c r="J8" s="4"/>
      <c r="K8" s="4"/>
      <c r="L8" s="4"/>
      <c r="M8" s="4"/>
      <c r="N8" s="4"/>
      <c r="O8" s="4"/>
      <c r="P8" s="4"/>
      <c r="Q8" s="4"/>
      <c r="R8" s="4"/>
      <c r="S8" s="4"/>
      <c r="T8" s="4"/>
      <c r="U8" s="4"/>
      <c r="V8" s="4"/>
      <c r="W8" s="4"/>
      <c r="X8" s="4"/>
      <c r="Y8" s="4"/>
      <c r="Z8" s="4"/>
    </row>
    <row r="9" ht="15.0" customHeight="1">
      <c r="A9" s="28" t="s">
        <v>107</v>
      </c>
      <c r="B9" s="30">
        <f>Dau_vao!B16*12</f>
        <v>36000000</v>
      </c>
      <c r="C9" s="17"/>
      <c r="D9" s="17"/>
      <c r="E9" s="17"/>
      <c r="F9" s="4"/>
      <c r="G9" s="4"/>
      <c r="H9" s="4"/>
      <c r="I9" s="4"/>
      <c r="J9" s="4"/>
      <c r="K9" s="4"/>
      <c r="L9" s="4"/>
      <c r="M9" s="4"/>
      <c r="N9" s="4"/>
      <c r="O9" s="4"/>
      <c r="P9" s="4"/>
      <c r="Q9" s="4"/>
      <c r="R9" s="4"/>
      <c r="S9" s="4"/>
      <c r="T9" s="4"/>
      <c r="U9" s="4"/>
      <c r="V9" s="4"/>
      <c r="W9" s="4"/>
      <c r="X9" s="4"/>
      <c r="Y9" s="4"/>
      <c r="Z9" s="4"/>
    </row>
    <row r="10" ht="15.0" customHeight="1">
      <c r="A10" s="28" t="s">
        <v>108</v>
      </c>
      <c r="B10" s="30">
        <f>Dau_vao!B17*12</f>
        <v>60000000</v>
      </c>
      <c r="C10" s="17"/>
      <c r="D10" s="17"/>
      <c r="E10" s="17"/>
      <c r="F10" s="4"/>
      <c r="G10" s="4"/>
      <c r="H10" s="4"/>
      <c r="I10" s="4"/>
      <c r="J10" s="4"/>
      <c r="K10" s="4"/>
      <c r="L10" s="4"/>
      <c r="M10" s="4"/>
      <c r="N10" s="4"/>
      <c r="O10" s="4"/>
      <c r="P10" s="4"/>
      <c r="Q10" s="4"/>
      <c r="R10" s="4"/>
      <c r="S10" s="4"/>
      <c r="T10" s="4"/>
      <c r="U10" s="4"/>
      <c r="V10" s="4"/>
      <c r="W10" s="4"/>
      <c r="X10" s="4"/>
      <c r="Y10" s="4"/>
      <c r="Z10" s="4"/>
    </row>
    <row r="11" ht="15.0" customHeight="1">
      <c r="A11" s="28" t="s">
        <v>109</v>
      </c>
      <c r="B11" s="30">
        <f>Dau_vao!B18*12</f>
        <v>36000000</v>
      </c>
      <c r="C11" s="17"/>
      <c r="D11" s="17"/>
      <c r="E11" s="17"/>
      <c r="F11" s="4"/>
      <c r="G11" s="4"/>
      <c r="H11" s="4"/>
      <c r="I11" s="4"/>
      <c r="J11" s="4"/>
      <c r="K11" s="4"/>
      <c r="L11" s="4"/>
      <c r="M11" s="4"/>
      <c r="N11" s="4"/>
      <c r="O11" s="4"/>
      <c r="P11" s="4"/>
      <c r="Q11" s="4"/>
      <c r="R11" s="4"/>
      <c r="S11" s="4"/>
      <c r="T11" s="4"/>
      <c r="U11" s="4"/>
      <c r="V11" s="4"/>
      <c r="W11" s="4"/>
      <c r="X11" s="4"/>
      <c r="Y11" s="4"/>
      <c r="Z11" s="4"/>
    </row>
    <row r="12" ht="15.0" customHeight="1">
      <c r="A12" s="28" t="s">
        <v>110</v>
      </c>
      <c r="B12" s="31">
        <f>SUM(B9:B11)</f>
        <v>132000000</v>
      </c>
      <c r="C12" s="17"/>
      <c r="D12" s="17"/>
      <c r="E12" s="17"/>
      <c r="F12" s="4"/>
      <c r="G12" s="4"/>
      <c r="H12" s="4"/>
      <c r="I12" s="4"/>
      <c r="J12" s="4"/>
      <c r="K12" s="4"/>
      <c r="L12" s="4"/>
      <c r="M12" s="4"/>
      <c r="N12" s="4"/>
      <c r="O12" s="4"/>
      <c r="P12" s="4"/>
      <c r="Q12" s="4"/>
      <c r="R12" s="4"/>
      <c r="S12" s="4"/>
      <c r="T12" s="4"/>
      <c r="U12" s="4"/>
      <c r="V12" s="4"/>
      <c r="W12" s="4"/>
      <c r="X12" s="4"/>
      <c r="Y12" s="4"/>
      <c r="Z12" s="4"/>
    </row>
    <row r="13" ht="15.0" customHeight="1">
      <c r="A13" s="28" t="s">
        <v>111</v>
      </c>
      <c r="B13" s="31">
        <f>B12*Dau_vao!B11</f>
        <v>118800000</v>
      </c>
      <c r="C13" s="17"/>
      <c r="D13" s="17"/>
      <c r="E13" s="17"/>
      <c r="F13" s="4"/>
      <c r="G13" s="4"/>
      <c r="H13" s="4"/>
      <c r="I13" s="4"/>
      <c r="J13" s="4"/>
      <c r="K13" s="4"/>
      <c r="L13" s="4"/>
      <c r="M13" s="4"/>
      <c r="N13" s="4"/>
      <c r="O13" s="4"/>
      <c r="P13" s="4"/>
      <c r="Q13" s="4"/>
      <c r="R13" s="4"/>
      <c r="S13" s="4"/>
      <c r="T13" s="4"/>
      <c r="U13" s="4"/>
      <c r="V13" s="4"/>
      <c r="W13" s="4"/>
      <c r="X13" s="4"/>
      <c r="Y13" s="4"/>
      <c r="Z13" s="4"/>
    </row>
    <row r="14" ht="15.0" customHeight="1">
      <c r="A14" s="17"/>
      <c r="B14" s="17"/>
      <c r="C14" s="17"/>
      <c r="D14" s="17"/>
      <c r="E14" s="17"/>
      <c r="F14" s="4"/>
      <c r="G14" s="4"/>
      <c r="H14" s="4"/>
      <c r="I14" s="4"/>
      <c r="J14" s="4"/>
      <c r="K14" s="4"/>
      <c r="L14" s="4"/>
      <c r="M14" s="4"/>
      <c r="N14" s="4"/>
      <c r="O14" s="4"/>
      <c r="P14" s="4"/>
      <c r="Q14" s="4"/>
      <c r="R14" s="4"/>
      <c r="S14" s="4"/>
      <c r="T14" s="4"/>
      <c r="U14" s="4"/>
      <c r="V14" s="4"/>
      <c r="W14" s="4"/>
      <c r="X14" s="4"/>
      <c r="Y14" s="4"/>
      <c r="Z14" s="4"/>
    </row>
    <row r="15" ht="15.0" customHeight="1">
      <c r="A15" s="29" t="s">
        <v>112</v>
      </c>
      <c r="B15" s="17"/>
      <c r="C15" s="17"/>
      <c r="D15" s="17"/>
      <c r="E15" s="17"/>
      <c r="F15" s="4"/>
      <c r="G15" s="4"/>
      <c r="H15" s="4"/>
      <c r="I15" s="4"/>
      <c r="J15" s="4"/>
      <c r="K15" s="4"/>
      <c r="L15" s="4"/>
      <c r="M15" s="4"/>
      <c r="N15" s="4"/>
      <c r="O15" s="4"/>
      <c r="P15" s="4"/>
      <c r="Q15" s="4"/>
      <c r="R15" s="4"/>
      <c r="S15" s="4"/>
      <c r="T15" s="4"/>
      <c r="U15" s="4"/>
      <c r="V15" s="4"/>
      <c r="W15" s="4"/>
      <c r="X15" s="4"/>
      <c r="Y15" s="4"/>
      <c r="Z15" s="4"/>
    </row>
    <row r="16" ht="15.0" customHeight="1">
      <c r="A16" s="28" t="s">
        <v>113</v>
      </c>
      <c r="B16" s="30">
        <f>(Dau_vao!B12+Dau_vao!B15)*12</f>
        <v>216000000</v>
      </c>
      <c r="C16" s="17"/>
      <c r="D16" s="17"/>
      <c r="E16" s="17"/>
      <c r="F16" s="4"/>
      <c r="G16" s="4"/>
      <c r="H16" s="4"/>
      <c r="I16" s="4"/>
      <c r="J16" s="4"/>
      <c r="K16" s="4"/>
      <c r="L16" s="4"/>
      <c r="M16" s="4"/>
      <c r="N16" s="4"/>
      <c r="O16" s="4"/>
      <c r="P16" s="4"/>
      <c r="Q16" s="4"/>
      <c r="R16" s="4"/>
      <c r="S16" s="4"/>
      <c r="T16" s="4"/>
      <c r="U16" s="4"/>
      <c r="V16" s="4"/>
      <c r="W16" s="4"/>
      <c r="X16" s="4"/>
      <c r="Y16" s="4"/>
      <c r="Z16" s="4"/>
    </row>
    <row r="17" ht="15.0" customHeight="1">
      <c r="A17" s="28" t="s">
        <v>114</v>
      </c>
      <c r="B17" s="30">
        <f>Dau_vao!B13*Dau_vao!B14*12</f>
        <v>360000000</v>
      </c>
      <c r="C17" s="17"/>
      <c r="D17" s="17"/>
      <c r="E17" s="17"/>
      <c r="F17" s="4"/>
      <c r="G17" s="4"/>
      <c r="H17" s="4"/>
      <c r="I17" s="4"/>
      <c r="J17" s="4"/>
      <c r="K17" s="4"/>
      <c r="L17" s="4"/>
      <c r="M17" s="4"/>
      <c r="N17" s="4"/>
      <c r="O17" s="4"/>
      <c r="P17" s="4"/>
      <c r="Q17" s="4"/>
      <c r="R17" s="4"/>
      <c r="S17" s="4"/>
      <c r="T17" s="4"/>
      <c r="U17" s="4"/>
      <c r="V17" s="4"/>
      <c r="W17" s="4"/>
      <c r="X17" s="4"/>
      <c r="Y17" s="4"/>
      <c r="Z17" s="4"/>
    </row>
    <row r="18" ht="15.0" customHeight="1">
      <c r="A18" s="28" t="s">
        <v>115</v>
      </c>
      <c r="B18" s="30">
        <f>B16*Dau_vao!B19</f>
        <v>46440000</v>
      </c>
      <c r="C18" s="17"/>
      <c r="D18" s="17"/>
      <c r="E18" s="17"/>
      <c r="F18" s="4"/>
      <c r="G18" s="4"/>
      <c r="H18" s="4"/>
      <c r="I18" s="4"/>
      <c r="J18" s="4"/>
      <c r="K18" s="4"/>
      <c r="L18" s="4"/>
      <c r="M18" s="4"/>
      <c r="N18" s="4"/>
      <c r="O18" s="4"/>
      <c r="P18" s="4"/>
      <c r="Q18" s="4"/>
      <c r="R18" s="4"/>
      <c r="S18" s="4"/>
      <c r="T18" s="4"/>
      <c r="U18" s="4"/>
      <c r="V18" s="4"/>
      <c r="W18" s="4"/>
      <c r="X18" s="4"/>
      <c r="Y18" s="4"/>
      <c r="Z18" s="4"/>
    </row>
    <row r="19" ht="15.0" customHeight="1">
      <c r="A19" s="28" t="s">
        <v>116</v>
      </c>
      <c r="B19" s="30">
        <f>(B16+B17)*Dau_vao!B19</f>
        <v>123840000</v>
      </c>
      <c r="C19" s="17"/>
      <c r="D19" s="17"/>
      <c r="E19" s="17"/>
      <c r="F19" s="4"/>
      <c r="G19" s="4"/>
      <c r="H19" s="4"/>
      <c r="I19" s="4"/>
      <c r="J19" s="4"/>
      <c r="K19" s="4"/>
      <c r="L19" s="4"/>
      <c r="M19" s="4"/>
      <c r="N19" s="4"/>
      <c r="O19" s="4"/>
      <c r="P19" s="4"/>
      <c r="Q19" s="4"/>
      <c r="R19" s="4"/>
      <c r="S19" s="4"/>
      <c r="T19" s="4"/>
      <c r="U19" s="4"/>
      <c r="V19" s="4"/>
      <c r="W19" s="4"/>
      <c r="X19" s="4"/>
      <c r="Y19" s="4"/>
      <c r="Z19" s="4"/>
    </row>
    <row r="20" ht="15.0" customHeight="1">
      <c r="A20" s="28" t="s">
        <v>117</v>
      </c>
      <c r="B20" s="31">
        <f>B16+B18</f>
        <v>262440000</v>
      </c>
      <c r="C20" s="17"/>
      <c r="D20" s="17"/>
      <c r="E20" s="17"/>
      <c r="F20" s="4"/>
      <c r="G20" s="4"/>
      <c r="H20" s="4"/>
      <c r="I20" s="4"/>
      <c r="J20" s="4"/>
      <c r="K20" s="4"/>
      <c r="L20" s="4"/>
      <c r="M20" s="4"/>
      <c r="N20" s="4"/>
      <c r="O20" s="4"/>
      <c r="P20" s="4"/>
      <c r="Q20" s="4"/>
      <c r="R20" s="4"/>
      <c r="S20" s="4"/>
      <c r="T20" s="4"/>
      <c r="U20" s="4"/>
      <c r="V20" s="4"/>
      <c r="W20" s="4"/>
      <c r="X20" s="4"/>
      <c r="Y20" s="4"/>
      <c r="Z20" s="4"/>
    </row>
    <row r="21" ht="15.0" customHeight="1">
      <c r="A21" s="28" t="s">
        <v>118</v>
      </c>
      <c r="B21" s="31">
        <f>B16+B17+B19</f>
        <v>699840000</v>
      </c>
      <c r="C21" s="17"/>
      <c r="D21" s="17"/>
      <c r="E21" s="17"/>
      <c r="F21" s="4"/>
      <c r="G21" s="4"/>
      <c r="H21" s="4"/>
      <c r="I21" s="4"/>
      <c r="J21" s="4"/>
      <c r="K21" s="4"/>
      <c r="L21" s="4"/>
      <c r="M21" s="4"/>
      <c r="N21" s="4"/>
      <c r="O21" s="4"/>
      <c r="P21" s="4"/>
      <c r="Q21" s="4"/>
      <c r="R21" s="4"/>
      <c r="S21" s="4"/>
      <c r="T21" s="4"/>
      <c r="U21" s="4"/>
      <c r="V21" s="4"/>
      <c r="W21" s="4"/>
      <c r="X21" s="4"/>
      <c r="Y21" s="4"/>
      <c r="Z21" s="4"/>
    </row>
    <row r="22" ht="15.0" customHeight="1">
      <c r="A22" s="28" t="s">
        <v>119</v>
      </c>
      <c r="B22" s="31">
        <f>B20*Dau_vao!B20</f>
        <v>262440000</v>
      </c>
      <c r="C22" s="17"/>
      <c r="D22" s="17"/>
      <c r="E22" s="17"/>
      <c r="F22" s="4"/>
      <c r="G22" s="4"/>
      <c r="H22" s="4"/>
      <c r="I22" s="4"/>
      <c r="J22" s="4"/>
      <c r="K22" s="4"/>
      <c r="L22" s="4"/>
      <c r="M22" s="4"/>
      <c r="N22" s="4"/>
      <c r="O22" s="4"/>
      <c r="P22" s="4"/>
      <c r="Q22" s="4"/>
      <c r="R22" s="4"/>
      <c r="S22" s="4"/>
      <c r="T22" s="4"/>
      <c r="U22" s="4"/>
      <c r="V22" s="4"/>
      <c r="W22" s="4"/>
      <c r="X22" s="4"/>
      <c r="Y22" s="4"/>
      <c r="Z22" s="4"/>
    </row>
    <row r="23" ht="15.0" customHeight="1">
      <c r="A23" s="28" t="s">
        <v>120</v>
      </c>
      <c r="B23" s="31">
        <f>B21*Dau_vao!B20</f>
        <v>699840000</v>
      </c>
      <c r="C23" s="17"/>
      <c r="D23" s="17"/>
      <c r="E23" s="17"/>
      <c r="F23" s="4"/>
      <c r="G23" s="4"/>
      <c r="H23" s="4"/>
      <c r="I23" s="4"/>
      <c r="J23" s="4"/>
      <c r="K23" s="4"/>
      <c r="L23" s="4"/>
      <c r="M23" s="4"/>
      <c r="N23" s="4"/>
      <c r="O23" s="4"/>
      <c r="P23" s="4"/>
      <c r="Q23" s="4"/>
      <c r="R23" s="4"/>
      <c r="S23" s="4"/>
      <c r="T23" s="4"/>
      <c r="U23" s="4"/>
      <c r="V23" s="4"/>
      <c r="W23" s="4"/>
      <c r="X23" s="4"/>
      <c r="Y23" s="4"/>
      <c r="Z23" s="4"/>
    </row>
    <row r="24" ht="15.75" customHeight="1">
      <c r="A24" s="17"/>
      <c r="B24" s="17"/>
      <c r="C24" s="17"/>
      <c r="D24" s="17"/>
      <c r="E24" s="17"/>
      <c r="F24" s="4"/>
      <c r="G24" s="4"/>
      <c r="H24" s="4"/>
      <c r="I24" s="4"/>
      <c r="J24" s="4"/>
      <c r="K24" s="4"/>
      <c r="L24" s="4"/>
      <c r="M24" s="4"/>
      <c r="N24" s="4"/>
      <c r="O24" s="4"/>
      <c r="P24" s="4"/>
      <c r="Q24" s="4"/>
      <c r="R24" s="4"/>
      <c r="S24" s="4"/>
      <c r="T24" s="4"/>
      <c r="U24" s="4"/>
      <c r="V24" s="4"/>
      <c r="W24" s="4"/>
      <c r="X24" s="4"/>
      <c r="Y24" s="4"/>
      <c r="Z24" s="4"/>
    </row>
    <row r="25" ht="15.0" customHeight="1">
      <c r="A25" s="29" t="s">
        <v>121</v>
      </c>
      <c r="B25" s="17"/>
      <c r="C25" s="17"/>
      <c r="D25" s="17"/>
      <c r="E25" s="17"/>
      <c r="F25" s="4"/>
      <c r="G25" s="4"/>
      <c r="H25" s="4"/>
      <c r="I25" s="4"/>
      <c r="J25" s="4"/>
      <c r="K25" s="4"/>
      <c r="L25" s="4"/>
      <c r="M25" s="4"/>
      <c r="N25" s="4"/>
      <c r="O25" s="4"/>
      <c r="P25" s="4"/>
      <c r="Q25" s="4"/>
      <c r="R25" s="4"/>
      <c r="S25" s="4"/>
      <c r="T25" s="4"/>
      <c r="U25" s="4"/>
      <c r="V25" s="4"/>
      <c r="W25" s="4"/>
      <c r="X25" s="4"/>
      <c r="Y25" s="4"/>
      <c r="Z25" s="4"/>
    </row>
    <row r="26" ht="15.0" customHeight="1">
      <c r="A26" s="28" t="s">
        <v>122</v>
      </c>
      <c r="B26" s="30">
        <f>B6*Dau_vao!B21</f>
        <v>160680000</v>
      </c>
      <c r="C26" s="17"/>
      <c r="D26" s="17"/>
      <c r="E26" s="17"/>
      <c r="F26" s="4"/>
      <c r="G26" s="4"/>
      <c r="H26" s="4"/>
      <c r="I26" s="4"/>
      <c r="J26" s="4"/>
      <c r="K26" s="4"/>
      <c r="L26" s="4"/>
      <c r="M26" s="4"/>
      <c r="N26" s="4"/>
      <c r="O26" s="4"/>
      <c r="P26" s="4"/>
      <c r="Q26" s="4"/>
      <c r="R26" s="4"/>
      <c r="S26" s="4"/>
      <c r="T26" s="4"/>
      <c r="U26" s="4"/>
      <c r="V26" s="4"/>
      <c r="W26" s="4"/>
      <c r="X26" s="4"/>
      <c r="Y26" s="4"/>
      <c r="Z26" s="4"/>
    </row>
    <row r="27" ht="15.0" customHeight="1">
      <c r="A27" s="28" t="s">
        <v>123</v>
      </c>
      <c r="B27" s="30">
        <f>SUM(B9:B11)*Dau_vao!B22</f>
        <v>132000000</v>
      </c>
      <c r="C27" s="17"/>
      <c r="D27" s="17"/>
      <c r="E27" s="17"/>
      <c r="F27" s="4"/>
      <c r="G27" s="4"/>
      <c r="H27" s="4"/>
      <c r="I27" s="4"/>
      <c r="J27" s="4"/>
      <c r="K27" s="4"/>
      <c r="L27" s="4"/>
      <c r="M27" s="4"/>
      <c r="N27" s="4"/>
      <c r="O27" s="4"/>
      <c r="P27" s="4"/>
      <c r="Q27" s="4"/>
      <c r="R27" s="4"/>
      <c r="S27" s="4"/>
      <c r="T27" s="4"/>
      <c r="U27" s="4"/>
      <c r="V27" s="4"/>
      <c r="W27" s="4"/>
      <c r="X27" s="4"/>
      <c r="Y27" s="4"/>
      <c r="Z27" s="4"/>
    </row>
    <row r="28" ht="15.0" customHeight="1">
      <c r="A28" s="28" t="s">
        <v>124</v>
      </c>
      <c r="B28" s="30">
        <f>B27*Dau_vao!B21</f>
        <v>10560000</v>
      </c>
      <c r="C28" s="17"/>
      <c r="D28" s="17"/>
      <c r="E28" s="17"/>
      <c r="F28" s="4"/>
      <c r="G28" s="4"/>
      <c r="H28" s="4"/>
      <c r="I28" s="4"/>
      <c r="J28" s="4"/>
      <c r="K28" s="4"/>
      <c r="L28" s="4"/>
      <c r="M28" s="4"/>
      <c r="N28" s="4"/>
      <c r="O28" s="4"/>
      <c r="P28" s="4"/>
      <c r="Q28" s="4"/>
      <c r="R28" s="4"/>
      <c r="S28" s="4"/>
      <c r="T28" s="4"/>
      <c r="U28" s="4"/>
      <c r="V28" s="4"/>
      <c r="W28" s="4"/>
      <c r="X28" s="4"/>
      <c r="Y28" s="4"/>
      <c r="Z28" s="4"/>
    </row>
    <row r="29" ht="15.0" customHeight="1">
      <c r="A29" s="28" t="s">
        <v>125</v>
      </c>
      <c r="B29" s="31">
        <f>MAX(0,B26-B28)</f>
        <v>150120000</v>
      </c>
      <c r="C29" s="17"/>
      <c r="D29" s="17"/>
      <c r="E29" s="17"/>
      <c r="F29" s="4"/>
      <c r="G29" s="4"/>
      <c r="H29" s="4"/>
      <c r="I29" s="4"/>
      <c r="J29" s="4"/>
      <c r="K29" s="4"/>
      <c r="L29" s="4"/>
      <c r="M29" s="4"/>
      <c r="N29" s="4"/>
      <c r="O29" s="4"/>
      <c r="P29" s="4"/>
      <c r="Q29" s="4"/>
      <c r="R29" s="4"/>
      <c r="S29" s="4"/>
      <c r="T29" s="4"/>
      <c r="U29" s="4"/>
      <c r="V29" s="4"/>
      <c r="W29" s="4"/>
      <c r="X29" s="4"/>
      <c r="Y29" s="4"/>
      <c r="Z29" s="4"/>
    </row>
    <row r="30" ht="15.0" customHeight="1">
      <c r="A30" s="28" t="s">
        <v>126</v>
      </c>
      <c r="B30" s="31">
        <f>B6+B26</f>
        <v>2169180000</v>
      </c>
      <c r="C30" s="17"/>
      <c r="D30" s="17"/>
      <c r="E30" s="17"/>
      <c r="F30" s="4"/>
      <c r="G30" s="4"/>
      <c r="H30" s="4"/>
      <c r="I30" s="4"/>
      <c r="J30" s="4"/>
      <c r="K30" s="4"/>
      <c r="L30" s="4"/>
      <c r="M30" s="4"/>
      <c r="N30" s="4"/>
      <c r="O30" s="4"/>
      <c r="P30" s="4"/>
      <c r="Q30" s="4"/>
      <c r="R30" s="4"/>
      <c r="S30" s="4"/>
      <c r="T30" s="4"/>
      <c r="U30" s="4"/>
      <c r="V30" s="4"/>
      <c r="W30" s="4"/>
      <c r="X30" s="4"/>
      <c r="Y30" s="4"/>
      <c r="Z30" s="4"/>
    </row>
    <row r="31" ht="15.0" customHeight="1">
      <c r="A31" s="28" t="s">
        <v>127</v>
      </c>
      <c r="B31" s="31">
        <f>B30-B28-B29</f>
        <v>2008500000</v>
      </c>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17"/>
      <c r="B32" s="17"/>
      <c r="C32" s="17"/>
      <c r="D32" s="17"/>
      <c r="E32" s="17"/>
      <c r="F32" s="4"/>
      <c r="G32" s="4"/>
      <c r="H32" s="4"/>
      <c r="I32" s="4"/>
      <c r="J32" s="4"/>
      <c r="K32" s="4"/>
      <c r="L32" s="4"/>
      <c r="M32" s="4"/>
      <c r="N32" s="4"/>
      <c r="O32" s="4"/>
      <c r="P32" s="4"/>
      <c r="Q32" s="4"/>
      <c r="R32" s="4"/>
      <c r="S32" s="4"/>
      <c r="T32" s="4"/>
      <c r="U32" s="4"/>
      <c r="V32" s="4"/>
      <c r="W32" s="4"/>
      <c r="X32" s="4"/>
      <c r="Y32" s="4"/>
      <c r="Z32" s="4"/>
    </row>
    <row r="33" ht="15.0" customHeight="1">
      <c r="A33" s="29" t="s">
        <v>128</v>
      </c>
      <c r="B33" s="17"/>
      <c r="C33" s="17"/>
      <c r="D33" s="17"/>
      <c r="E33" s="17"/>
      <c r="F33" s="4"/>
      <c r="G33" s="4"/>
      <c r="H33" s="4"/>
      <c r="I33" s="4"/>
      <c r="J33" s="4"/>
      <c r="K33" s="4"/>
      <c r="L33" s="4"/>
      <c r="M33" s="4"/>
      <c r="N33" s="4"/>
      <c r="O33" s="4"/>
      <c r="P33" s="4"/>
      <c r="Q33" s="4"/>
      <c r="R33" s="4"/>
      <c r="S33" s="4"/>
      <c r="T33" s="4"/>
      <c r="U33" s="4"/>
      <c r="V33" s="4"/>
      <c r="W33" s="4"/>
      <c r="X33" s="4"/>
      <c r="Y33" s="4"/>
      <c r="Z33" s="4"/>
    </row>
    <row r="34" ht="15.0" customHeight="1">
      <c r="A34" s="28" t="s">
        <v>129</v>
      </c>
      <c r="B34" s="30">
        <f>B6*Dau_vao!B23</f>
        <v>100425000</v>
      </c>
      <c r="C34" s="17"/>
      <c r="D34" s="17"/>
      <c r="E34" s="17"/>
      <c r="F34" s="4"/>
      <c r="G34" s="4"/>
      <c r="H34" s="4"/>
      <c r="I34" s="4"/>
      <c r="J34" s="4"/>
      <c r="K34" s="4"/>
      <c r="L34" s="4"/>
      <c r="M34" s="4"/>
      <c r="N34" s="4"/>
      <c r="O34" s="4"/>
      <c r="P34" s="4"/>
      <c r="Q34" s="4"/>
      <c r="R34" s="4"/>
      <c r="S34" s="4"/>
      <c r="T34" s="4"/>
      <c r="U34" s="4"/>
      <c r="V34" s="4"/>
      <c r="W34" s="4"/>
      <c r="X34" s="4"/>
      <c r="Y34" s="4"/>
      <c r="Z34" s="4"/>
    </row>
    <row r="35" ht="15.0" customHeight="1">
      <c r="A35" s="28" t="s">
        <v>130</v>
      </c>
      <c r="B35" s="31">
        <f>B34*Dau_vao!B24</f>
        <v>90382500</v>
      </c>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28" t="s">
        <v>131</v>
      </c>
      <c r="B36" s="30">
        <f>B6*Dau_vao!B34</f>
        <v>40170000</v>
      </c>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28" t="s">
        <v>132</v>
      </c>
      <c r="B37" s="30">
        <f>B36*Dau_vao!B24</f>
        <v>36153000</v>
      </c>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17"/>
      <c r="B231" s="17"/>
      <c r="C231" s="17"/>
      <c r="D231" s="17"/>
      <c r="E231" s="17"/>
      <c r="F231" s="4"/>
      <c r="G231" s="4"/>
      <c r="H231" s="4"/>
      <c r="I231" s="4"/>
      <c r="J231" s="4"/>
      <c r="K231" s="4"/>
      <c r="L231" s="4"/>
      <c r="M231" s="4"/>
      <c r="N231" s="4"/>
      <c r="O231" s="4"/>
      <c r="P231" s="4"/>
      <c r="Q231" s="4"/>
      <c r="R231" s="4"/>
      <c r="S231" s="4"/>
      <c r="T231" s="4"/>
      <c r="U231" s="4"/>
      <c r="V231" s="4"/>
      <c r="W231" s="4"/>
      <c r="X231" s="4"/>
      <c r="Y231" s="4"/>
      <c r="Z231" s="4"/>
    </row>
    <row r="232" ht="15.75" customHeight="1">
      <c r="A232" s="17"/>
      <c r="B232" s="17"/>
      <c r="C232" s="17"/>
      <c r="D232" s="17"/>
      <c r="E232" s="17"/>
      <c r="F232" s="4"/>
      <c r="G232" s="4"/>
      <c r="H232" s="4"/>
      <c r="I232" s="4"/>
      <c r="J232" s="4"/>
      <c r="K232" s="4"/>
      <c r="L232" s="4"/>
      <c r="M232" s="4"/>
      <c r="N232" s="4"/>
      <c r="O232" s="4"/>
      <c r="P232" s="4"/>
      <c r="Q232" s="4"/>
      <c r="R232" s="4"/>
      <c r="S232" s="4"/>
      <c r="T232" s="4"/>
      <c r="U232" s="4"/>
      <c r="V232" s="4"/>
      <c r="W232" s="4"/>
      <c r="X232" s="4"/>
      <c r="Y232" s="4"/>
      <c r="Z232" s="4"/>
    </row>
    <row r="233" ht="15.75" customHeight="1">
      <c r="A233" s="17"/>
      <c r="B233" s="17"/>
      <c r="C233" s="17"/>
      <c r="D233" s="17"/>
      <c r="E233" s="17"/>
      <c r="F233" s="4"/>
      <c r="G233" s="4"/>
      <c r="H233" s="4"/>
      <c r="I233" s="4"/>
      <c r="J233" s="4"/>
      <c r="K233" s="4"/>
      <c r="L233" s="4"/>
      <c r="M233" s="4"/>
      <c r="N233" s="4"/>
      <c r="O233" s="4"/>
      <c r="P233" s="4"/>
      <c r="Q233" s="4"/>
      <c r="R233" s="4"/>
      <c r="S233" s="4"/>
      <c r="T233" s="4"/>
      <c r="U233" s="4"/>
      <c r="V233" s="4"/>
      <c r="W233" s="4"/>
      <c r="X233" s="4"/>
      <c r="Y233" s="4"/>
      <c r="Z233" s="4"/>
    </row>
    <row r="234" ht="15.75" customHeight="1">
      <c r="A234" s="17"/>
      <c r="B234" s="17"/>
      <c r="C234" s="17"/>
      <c r="D234" s="17"/>
      <c r="E234" s="17"/>
      <c r="F234" s="4"/>
      <c r="G234" s="4"/>
      <c r="H234" s="4"/>
      <c r="I234" s="4"/>
      <c r="J234" s="4"/>
      <c r="K234" s="4"/>
      <c r="L234" s="4"/>
      <c r="M234" s="4"/>
      <c r="N234" s="4"/>
      <c r="O234" s="4"/>
      <c r="P234" s="4"/>
      <c r="Q234" s="4"/>
      <c r="R234" s="4"/>
      <c r="S234" s="4"/>
      <c r="T234" s="4"/>
      <c r="U234" s="4"/>
      <c r="V234" s="4"/>
      <c r="W234" s="4"/>
      <c r="X234" s="4"/>
      <c r="Y234" s="4"/>
      <c r="Z234" s="4"/>
    </row>
    <row r="235" ht="15.75" customHeight="1">
      <c r="A235" s="17"/>
      <c r="B235" s="17"/>
      <c r="C235" s="17"/>
      <c r="D235" s="17"/>
      <c r="E235" s="17"/>
      <c r="F235" s="4"/>
      <c r="G235" s="4"/>
      <c r="H235" s="4"/>
      <c r="I235" s="4"/>
      <c r="J235" s="4"/>
      <c r="K235" s="4"/>
      <c r="L235" s="4"/>
      <c r="M235" s="4"/>
      <c r="N235" s="4"/>
      <c r="O235" s="4"/>
      <c r="P235" s="4"/>
      <c r="Q235" s="4"/>
      <c r="R235" s="4"/>
      <c r="S235" s="4"/>
      <c r="T235" s="4"/>
      <c r="U235" s="4"/>
      <c r="V235" s="4"/>
      <c r="W235" s="4"/>
      <c r="X235" s="4"/>
      <c r="Y235" s="4"/>
      <c r="Z235" s="4"/>
    </row>
    <row r="236" ht="15.75" customHeight="1">
      <c r="A236" s="17"/>
      <c r="B236" s="17"/>
      <c r="C236" s="17"/>
      <c r="D236" s="17"/>
      <c r="E236" s="17"/>
      <c r="F236" s="4"/>
      <c r="G236" s="4"/>
      <c r="H236" s="4"/>
      <c r="I236" s="4"/>
      <c r="J236" s="4"/>
      <c r="K236" s="4"/>
      <c r="L236" s="4"/>
      <c r="M236" s="4"/>
      <c r="N236" s="4"/>
      <c r="O236" s="4"/>
      <c r="P236" s="4"/>
      <c r="Q236" s="4"/>
      <c r="R236" s="4"/>
      <c r="S236" s="4"/>
      <c r="T236" s="4"/>
      <c r="U236" s="4"/>
      <c r="V236" s="4"/>
      <c r="W236" s="4"/>
      <c r="X236" s="4"/>
      <c r="Y236" s="4"/>
      <c r="Z236" s="4"/>
    </row>
    <row r="237" ht="15.75" customHeight="1">
      <c r="A237" s="17"/>
      <c r="B237" s="17"/>
      <c r="C237" s="17"/>
      <c r="D237" s="17"/>
      <c r="E237" s="17"/>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B1"/>
  </mergeCells>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6.0"/>
    <col customWidth="1" min="2" max="5" width="20.0"/>
    <col customWidth="1" min="6" max="6" width="8.71"/>
  </cols>
  <sheetData>
    <row r="1" ht="19.5" customHeight="1">
      <c r="A1" s="15" t="s">
        <v>133</v>
      </c>
      <c r="B1" s="32"/>
      <c r="C1" s="16"/>
      <c r="D1" s="17"/>
      <c r="E1" s="17"/>
      <c r="F1" s="4"/>
      <c r="G1" s="4"/>
      <c r="H1" s="4"/>
      <c r="I1" s="4"/>
      <c r="J1" s="4"/>
      <c r="K1" s="4"/>
      <c r="L1" s="4"/>
      <c r="M1" s="4"/>
      <c r="N1" s="4"/>
      <c r="O1" s="4"/>
      <c r="P1" s="4"/>
      <c r="Q1" s="4"/>
      <c r="R1" s="4"/>
      <c r="S1" s="4"/>
      <c r="T1" s="4"/>
      <c r="U1" s="4"/>
      <c r="V1" s="4"/>
      <c r="W1" s="4"/>
      <c r="X1" s="4"/>
      <c r="Y1" s="4"/>
      <c r="Z1" s="4"/>
    </row>
    <row r="2" ht="15.0" customHeight="1">
      <c r="A2" s="17"/>
      <c r="B2" s="17"/>
      <c r="C2" s="17"/>
      <c r="D2" s="17"/>
      <c r="E2" s="17"/>
      <c r="F2" s="4"/>
      <c r="G2" s="4"/>
      <c r="H2" s="4"/>
      <c r="I2" s="4"/>
      <c r="J2" s="4"/>
      <c r="K2" s="4"/>
      <c r="L2" s="4"/>
      <c r="M2" s="4"/>
      <c r="N2" s="4"/>
      <c r="O2" s="4"/>
      <c r="P2" s="4"/>
      <c r="Q2" s="4"/>
      <c r="R2" s="4"/>
      <c r="S2" s="4"/>
      <c r="T2" s="4"/>
      <c r="U2" s="4"/>
      <c r="V2" s="4"/>
      <c r="W2" s="4"/>
      <c r="X2" s="4"/>
      <c r="Y2" s="4"/>
      <c r="Z2" s="4"/>
    </row>
    <row r="3" ht="15.0" customHeight="1">
      <c r="A3" s="19" t="s">
        <v>4</v>
      </c>
      <c r="B3" s="19" t="s">
        <v>134</v>
      </c>
      <c r="C3" s="19" t="s">
        <v>135</v>
      </c>
      <c r="D3" s="17"/>
      <c r="E3" s="17"/>
      <c r="F3" s="4"/>
      <c r="G3" s="4"/>
      <c r="H3" s="4"/>
      <c r="I3" s="4"/>
      <c r="J3" s="4"/>
      <c r="K3" s="4"/>
      <c r="L3" s="4"/>
      <c r="M3" s="4"/>
      <c r="N3" s="4"/>
      <c r="O3" s="4"/>
      <c r="P3" s="4"/>
      <c r="Q3" s="4"/>
      <c r="R3" s="4"/>
      <c r="S3" s="4"/>
      <c r="T3" s="4"/>
      <c r="U3" s="4"/>
      <c r="V3" s="4"/>
      <c r="W3" s="4"/>
      <c r="X3" s="4"/>
      <c r="Y3" s="4"/>
      <c r="Z3" s="4"/>
    </row>
    <row r="4" ht="15.0" customHeight="1">
      <c r="A4" s="28" t="s">
        <v>136</v>
      </c>
      <c r="B4" s="30">
        <f>Tinh_toan!B6</f>
        <v>2008500000</v>
      </c>
      <c r="C4" s="30">
        <f>Tinh_toan!B6</f>
        <v>2008500000</v>
      </c>
      <c r="D4" s="17"/>
      <c r="E4" s="17"/>
      <c r="F4" s="4"/>
      <c r="G4" s="4"/>
      <c r="H4" s="4"/>
      <c r="I4" s="4"/>
      <c r="J4" s="4"/>
      <c r="K4" s="4"/>
      <c r="L4" s="4"/>
      <c r="M4" s="4"/>
      <c r="N4" s="4"/>
      <c r="O4" s="4"/>
      <c r="P4" s="4"/>
      <c r="Q4" s="4"/>
      <c r="R4" s="4"/>
      <c r="S4" s="4"/>
      <c r="T4" s="4"/>
      <c r="U4" s="4"/>
      <c r="V4" s="4"/>
      <c r="W4" s="4"/>
      <c r="X4" s="4"/>
      <c r="Y4" s="4"/>
      <c r="Z4" s="4"/>
    </row>
    <row r="5" ht="15.0" customHeight="1">
      <c r="A5" s="28" t="s">
        <v>122</v>
      </c>
      <c r="B5" s="30">
        <f>Tinh_toan!B26</f>
        <v>160680000</v>
      </c>
      <c r="C5" s="30">
        <f>Tinh_toan!B26</f>
        <v>160680000</v>
      </c>
      <c r="D5" s="17"/>
      <c r="E5" s="17"/>
      <c r="F5" s="4"/>
      <c r="G5" s="4"/>
      <c r="H5" s="4"/>
      <c r="I5" s="4"/>
      <c r="J5" s="4"/>
      <c r="K5" s="4"/>
      <c r="L5" s="4"/>
      <c r="M5" s="4"/>
      <c r="N5" s="4"/>
      <c r="O5" s="4"/>
      <c r="P5" s="4"/>
      <c r="Q5" s="4"/>
      <c r="R5" s="4"/>
      <c r="S5" s="4"/>
      <c r="T5" s="4"/>
      <c r="U5" s="4"/>
      <c r="V5" s="4"/>
      <c r="W5" s="4"/>
      <c r="X5" s="4"/>
      <c r="Y5" s="4"/>
      <c r="Z5" s="4"/>
    </row>
    <row r="6" ht="15.0" customHeight="1">
      <c r="A6" s="28" t="s">
        <v>126</v>
      </c>
      <c r="B6" s="30">
        <f>Tinh_toan!B30</f>
        <v>2169180000</v>
      </c>
      <c r="C6" s="30">
        <f>Tinh_toan!B30</f>
        <v>2169180000</v>
      </c>
      <c r="D6" s="17"/>
      <c r="E6" s="17"/>
      <c r="F6" s="4"/>
      <c r="G6" s="4"/>
      <c r="H6" s="4"/>
      <c r="I6" s="4"/>
      <c r="J6" s="4"/>
      <c r="K6" s="4"/>
      <c r="L6" s="4"/>
      <c r="M6" s="4"/>
      <c r="N6" s="4"/>
      <c r="O6" s="4"/>
      <c r="P6" s="4"/>
      <c r="Q6" s="4"/>
      <c r="R6" s="4"/>
      <c r="S6" s="4"/>
      <c r="T6" s="4"/>
      <c r="U6" s="4"/>
      <c r="V6" s="4"/>
      <c r="W6" s="4"/>
      <c r="X6" s="4"/>
      <c r="Y6" s="4"/>
      <c r="Z6" s="4"/>
    </row>
    <row r="7" ht="15.0" customHeight="1">
      <c r="A7" s="28" t="s">
        <v>137</v>
      </c>
      <c r="B7" s="30">
        <f>Tinh_toan!B6*Dau_vao!B8</f>
        <v>1104675000</v>
      </c>
      <c r="C7" s="30">
        <f>Tinh_toan!B6*Dau_vao!B9</f>
        <v>702975000</v>
      </c>
      <c r="D7" s="17"/>
      <c r="E7" s="17"/>
      <c r="F7" s="4"/>
      <c r="G7" s="4"/>
      <c r="H7" s="4"/>
      <c r="I7" s="4"/>
      <c r="J7" s="4"/>
      <c r="K7" s="4"/>
      <c r="L7" s="4"/>
      <c r="M7" s="4"/>
      <c r="N7" s="4"/>
      <c r="O7" s="4"/>
      <c r="P7" s="4"/>
      <c r="Q7" s="4"/>
      <c r="R7" s="4"/>
      <c r="S7" s="4"/>
      <c r="T7" s="4"/>
      <c r="U7" s="4"/>
      <c r="V7" s="4"/>
      <c r="W7" s="4"/>
      <c r="X7" s="4"/>
      <c r="Y7" s="4"/>
      <c r="Z7" s="4"/>
    </row>
    <row r="8" ht="15.0" customHeight="1">
      <c r="A8" s="28" t="s">
        <v>138</v>
      </c>
      <c r="B8" s="30">
        <f>Tinh_toan!B20</f>
        <v>262440000</v>
      </c>
      <c r="C8" s="30">
        <f>Tinh_toan!B21</f>
        <v>699840000</v>
      </c>
      <c r="D8" s="17"/>
      <c r="E8" s="17"/>
      <c r="F8" s="4"/>
      <c r="G8" s="4"/>
      <c r="H8" s="4"/>
      <c r="I8" s="4"/>
      <c r="J8" s="4"/>
      <c r="K8" s="4"/>
      <c r="L8" s="4"/>
      <c r="M8" s="4"/>
      <c r="N8" s="4"/>
      <c r="O8" s="4"/>
      <c r="P8" s="4"/>
      <c r="Q8" s="4"/>
      <c r="R8" s="4"/>
      <c r="S8" s="4"/>
      <c r="T8" s="4"/>
      <c r="U8" s="4"/>
      <c r="V8" s="4"/>
      <c r="W8" s="4"/>
      <c r="X8" s="4"/>
      <c r="Y8" s="4"/>
      <c r="Z8" s="4"/>
    </row>
    <row r="9" ht="15.0" customHeight="1">
      <c r="A9" s="28" t="s">
        <v>139</v>
      </c>
      <c r="B9" s="30">
        <f>Tinh_toan!B34</f>
        <v>100425000</v>
      </c>
      <c r="C9" s="30">
        <f>Tinh_toan!B36</f>
        <v>40170000</v>
      </c>
      <c r="D9" s="17"/>
      <c r="E9" s="17"/>
      <c r="F9" s="4"/>
      <c r="G9" s="4"/>
      <c r="H9" s="4"/>
      <c r="I9" s="4"/>
      <c r="J9" s="4"/>
      <c r="K9" s="4"/>
      <c r="L9" s="4"/>
      <c r="M9" s="4"/>
      <c r="N9" s="4"/>
      <c r="O9" s="4"/>
      <c r="P9" s="4"/>
      <c r="Q9" s="4"/>
      <c r="R9" s="4"/>
      <c r="S9" s="4"/>
      <c r="T9" s="4"/>
      <c r="U9" s="4"/>
      <c r="V9" s="4"/>
      <c r="W9" s="4"/>
      <c r="X9" s="4"/>
      <c r="Y9" s="4"/>
      <c r="Z9" s="4"/>
    </row>
    <row r="10" ht="15.0" customHeight="1">
      <c r="A10" s="28" t="s">
        <v>140</v>
      </c>
      <c r="B10" s="30">
        <f>Tinh_toan!B12</f>
        <v>132000000</v>
      </c>
      <c r="C10" s="30">
        <f>Tinh_toan!B12</f>
        <v>132000000</v>
      </c>
      <c r="D10" s="17"/>
      <c r="E10" s="17"/>
      <c r="F10" s="4"/>
      <c r="G10" s="4"/>
      <c r="H10" s="4"/>
      <c r="I10" s="4"/>
      <c r="J10" s="4"/>
      <c r="K10" s="4"/>
      <c r="L10" s="4"/>
      <c r="M10" s="4"/>
      <c r="N10" s="4"/>
      <c r="O10" s="4"/>
      <c r="P10" s="4"/>
      <c r="Q10" s="4"/>
      <c r="R10" s="4"/>
      <c r="S10" s="4"/>
      <c r="T10" s="4"/>
      <c r="U10" s="4"/>
      <c r="V10" s="4"/>
      <c r="W10" s="4"/>
      <c r="X10" s="4"/>
      <c r="Y10" s="4"/>
      <c r="Z10" s="4"/>
    </row>
    <row r="11" ht="15.0" customHeight="1">
      <c r="A11" s="28" t="s">
        <v>141</v>
      </c>
      <c r="B11" s="30">
        <f t="shared" ref="B11:C11" si="1">B4-B7-B8-B9</f>
        <v>540960000</v>
      </c>
      <c r="C11" s="30">
        <f t="shared" si="1"/>
        <v>565515000</v>
      </c>
      <c r="D11" s="17"/>
      <c r="E11" s="17"/>
      <c r="F11" s="4"/>
      <c r="G11" s="4"/>
      <c r="H11" s="4"/>
      <c r="I11" s="4"/>
      <c r="J11" s="4"/>
      <c r="K11" s="4"/>
      <c r="L11" s="4"/>
      <c r="M11" s="4"/>
      <c r="N11" s="4"/>
      <c r="O11" s="4"/>
      <c r="P11" s="4"/>
      <c r="Q11" s="4"/>
      <c r="R11" s="4"/>
      <c r="S11" s="4"/>
      <c r="T11" s="4"/>
      <c r="U11" s="4"/>
      <c r="V11" s="4"/>
      <c r="W11" s="4"/>
      <c r="X11" s="4"/>
      <c r="Y11" s="4"/>
      <c r="Z11" s="4"/>
    </row>
    <row r="12" ht="15.0" customHeight="1">
      <c r="A12" s="28" t="s">
        <v>142</v>
      </c>
      <c r="B12" s="30">
        <f t="shared" ref="B12:C12" si="2">B4-B7-B8-B9-B10</f>
        <v>408960000</v>
      </c>
      <c r="C12" s="30">
        <f t="shared" si="2"/>
        <v>433515000</v>
      </c>
      <c r="D12" s="17"/>
      <c r="E12" s="17"/>
      <c r="F12" s="4"/>
      <c r="G12" s="4"/>
      <c r="H12" s="4"/>
      <c r="I12" s="4"/>
      <c r="J12" s="4"/>
      <c r="K12" s="4"/>
      <c r="L12" s="4"/>
      <c r="M12" s="4"/>
      <c r="N12" s="4"/>
      <c r="O12" s="4"/>
      <c r="P12" s="4"/>
      <c r="Q12" s="4"/>
      <c r="R12" s="4"/>
      <c r="S12" s="4"/>
      <c r="T12" s="4"/>
      <c r="U12" s="4"/>
      <c r="V12" s="4"/>
      <c r="W12" s="4"/>
      <c r="X12" s="4"/>
      <c r="Y12" s="4"/>
      <c r="Z12" s="4"/>
    </row>
    <row r="13" ht="15.0" customHeight="1">
      <c r="A13" s="28" t="s">
        <v>143</v>
      </c>
      <c r="B13" s="30">
        <f>Tinh_toan!B13+Tinh_toan!B22+Tinh_toan!B35</f>
        <v>471622500</v>
      </c>
      <c r="C13" s="30">
        <f>Tinh_toan!B13+Tinh_toan!B23+Tinh_toan!B37</f>
        <v>854793000</v>
      </c>
      <c r="D13" s="17"/>
      <c r="E13" s="17"/>
      <c r="F13" s="4"/>
      <c r="G13" s="4"/>
      <c r="H13" s="4"/>
      <c r="I13" s="4"/>
      <c r="J13" s="4"/>
      <c r="K13" s="4"/>
      <c r="L13" s="4"/>
      <c r="M13" s="4"/>
      <c r="N13" s="4"/>
      <c r="O13" s="4"/>
      <c r="P13" s="4"/>
      <c r="Q13" s="4"/>
      <c r="R13" s="4"/>
      <c r="S13" s="4"/>
      <c r="T13" s="4"/>
      <c r="U13" s="4"/>
      <c r="V13" s="4"/>
      <c r="W13" s="4"/>
      <c r="X13" s="4"/>
      <c r="Y13" s="4"/>
      <c r="Z13" s="4"/>
    </row>
    <row r="14" ht="15.0" customHeight="1">
      <c r="A14" s="28" t="s">
        <v>144</v>
      </c>
      <c r="B14" s="30">
        <f t="shared" ref="B14:C14" si="3">B4-B13</f>
        <v>1536877500</v>
      </c>
      <c r="C14" s="30">
        <f t="shared" si="3"/>
        <v>1153707000</v>
      </c>
      <c r="D14" s="17"/>
      <c r="E14" s="17"/>
      <c r="F14" s="4"/>
      <c r="G14" s="4"/>
      <c r="H14" s="4"/>
      <c r="I14" s="4"/>
      <c r="J14" s="4"/>
      <c r="K14" s="4"/>
      <c r="L14" s="4"/>
      <c r="M14" s="4"/>
      <c r="N14" s="4"/>
      <c r="O14" s="4"/>
      <c r="P14" s="4"/>
      <c r="Q14" s="4"/>
      <c r="R14" s="4"/>
      <c r="S14" s="4"/>
      <c r="T14" s="4"/>
      <c r="U14" s="4"/>
      <c r="V14" s="4"/>
      <c r="W14" s="4"/>
      <c r="X14" s="4"/>
      <c r="Y14" s="4"/>
      <c r="Z14" s="4"/>
    </row>
    <row r="15" ht="15.0" customHeight="1">
      <c r="A15" s="28" t="s">
        <v>79</v>
      </c>
      <c r="B15" s="30">
        <f>MAX(0,B14*Dau_vao!B10)</f>
        <v>261269175</v>
      </c>
      <c r="C15" s="30">
        <f>MAX(0,C14*Dau_vao!B10)</f>
        <v>196130190</v>
      </c>
      <c r="D15" s="17"/>
      <c r="E15" s="17"/>
      <c r="F15" s="4"/>
      <c r="G15" s="4"/>
      <c r="H15" s="4"/>
      <c r="I15" s="4"/>
      <c r="J15" s="4"/>
      <c r="K15" s="4"/>
      <c r="L15" s="4"/>
      <c r="M15" s="4"/>
      <c r="N15" s="4"/>
      <c r="O15" s="4"/>
      <c r="P15" s="4"/>
      <c r="Q15" s="4"/>
      <c r="R15" s="4"/>
      <c r="S15" s="4"/>
      <c r="T15" s="4"/>
      <c r="U15" s="4"/>
      <c r="V15" s="4"/>
      <c r="W15" s="4"/>
      <c r="X15" s="4"/>
      <c r="Y15" s="4"/>
      <c r="Z15" s="4"/>
    </row>
    <row r="16" ht="15.0" customHeight="1">
      <c r="A16" s="28" t="s">
        <v>145</v>
      </c>
      <c r="B16" s="33">
        <f t="shared" ref="B16:C16" si="4">B15/B4</f>
        <v>0.1300817401</v>
      </c>
      <c r="C16" s="33">
        <f t="shared" si="4"/>
        <v>0.09765008215</v>
      </c>
      <c r="D16" s="17"/>
      <c r="E16" s="17"/>
      <c r="F16" s="4"/>
      <c r="G16" s="4"/>
      <c r="H16" s="4"/>
      <c r="I16" s="4"/>
      <c r="J16" s="4"/>
      <c r="K16" s="4"/>
      <c r="L16" s="4"/>
      <c r="M16" s="4"/>
      <c r="N16" s="4"/>
      <c r="O16" s="4"/>
      <c r="P16" s="4"/>
      <c r="Q16" s="4"/>
      <c r="R16" s="4"/>
      <c r="S16" s="4"/>
      <c r="T16" s="4"/>
      <c r="U16" s="4"/>
      <c r="V16" s="4"/>
      <c r="W16" s="4"/>
      <c r="X16" s="4"/>
      <c r="Y16" s="4"/>
      <c r="Z16" s="4"/>
    </row>
    <row r="17" ht="15.0" customHeight="1">
      <c r="A17" s="28" t="s">
        <v>146</v>
      </c>
      <c r="B17" s="30">
        <f>Tinh_toan!B28</f>
        <v>10560000</v>
      </c>
      <c r="C17" s="30">
        <f>Tinh_toan!B28</f>
        <v>10560000</v>
      </c>
      <c r="D17" s="17"/>
      <c r="E17" s="17"/>
      <c r="F17" s="4"/>
      <c r="G17" s="4"/>
      <c r="H17" s="4"/>
      <c r="I17" s="4"/>
      <c r="J17" s="4"/>
      <c r="K17" s="4"/>
      <c r="L17" s="4"/>
      <c r="M17" s="4"/>
      <c r="N17" s="4"/>
      <c r="O17" s="4"/>
      <c r="P17" s="4"/>
      <c r="Q17" s="4"/>
      <c r="R17" s="4"/>
      <c r="S17" s="4"/>
      <c r="T17" s="4"/>
      <c r="U17" s="4"/>
      <c r="V17" s="4"/>
      <c r="W17" s="4"/>
      <c r="X17" s="4"/>
      <c r="Y17" s="4"/>
      <c r="Z17" s="4"/>
    </row>
    <row r="18" ht="15.0" customHeight="1">
      <c r="A18" s="28" t="s">
        <v>125</v>
      </c>
      <c r="B18" s="30">
        <f>Tinh_toan!B29</f>
        <v>150120000</v>
      </c>
      <c r="C18" s="30">
        <f>Tinh_toan!B29</f>
        <v>150120000</v>
      </c>
      <c r="D18" s="17"/>
      <c r="E18" s="17"/>
      <c r="F18" s="4"/>
      <c r="G18" s="4"/>
      <c r="H18" s="4"/>
      <c r="I18" s="4"/>
      <c r="J18" s="4"/>
      <c r="K18" s="4"/>
      <c r="L18" s="4"/>
      <c r="M18" s="4"/>
      <c r="N18" s="4"/>
      <c r="O18" s="4"/>
      <c r="P18" s="4"/>
      <c r="Q18" s="4"/>
      <c r="R18" s="4"/>
      <c r="S18" s="4"/>
      <c r="T18" s="4"/>
      <c r="U18" s="4"/>
      <c r="V18" s="4"/>
      <c r="W18" s="4"/>
      <c r="X18" s="4"/>
      <c r="Y18" s="4"/>
      <c r="Z18" s="4"/>
    </row>
    <row r="19" ht="15.0" customHeight="1">
      <c r="A19" s="28" t="s">
        <v>147</v>
      </c>
      <c r="B19" s="31">
        <f t="shared" ref="B19:C19" si="5">B12-B15</f>
        <v>147690825</v>
      </c>
      <c r="C19" s="31">
        <f t="shared" si="5"/>
        <v>237384810</v>
      </c>
      <c r="D19" s="17"/>
      <c r="E19" s="17"/>
      <c r="F19" s="4"/>
      <c r="G19" s="4"/>
      <c r="H19" s="4"/>
      <c r="I19" s="4"/>
      <c r="J19" s="4"/>
      <c r="K19" s="4"/>
      <c r="L19" s="4"/>
      <c r="M19" s="4"/>
      <c r="N19" s="4"/>
      <c r="O19" s="4"/>
      <c r="P19" s="4"/>
      <c r="Q19" s="4"/>
      <c r="R19" s="4"/>
      <c r="S19" s="4"/>
      <c r="T19" s="4"/>
      <c r="U19" s="4"/>
      <c r="V19" s="4"/>
      <c r="W19" s="4"/>
      <c r="X19" s="4"/>
      <c r="Y19" s="4"/>
      <c r="Z19" s="4"/>
    </row>
    <row r="20" ht="15.0" customHeight="1">
      <c r="A20" s="28" t="s">
        <v>148</v>
      </c>
      <c r="B20" s="31">
        <f t="shared" ref="B20:C20" si="6">B19/12</f>
        <v>12307568.75</v>
      </c>
      <c r="C20" s="31">
        <f t="shared" si="6"/>
        <v>19782067.5</v>
      </c>
      <c r="D20" s="17"/>
      <c r="E20" s="17"/>
      <c r="F20" s="4"/>
      <c r="G20" s="4"/>
      <c r="H20" s="4"/>
      <c r="I20" s="4"/>
      <c r="J20" s="4"/>
      <c r="K20" s="4"/>
      <c r="L20" s="4"/>
      <c r="M20" s="4"/>
      <c r="N20" s="4"/>
      <c r="O20" s="4"/>
      <c r="P20" s="4"/>
      <c r="Q20" s="4"/>
      <c r="R20" s="4"/>
      <c r="S20" s="4"/>
      <c r="T20" s="4"/>
      <c r="U20" s="4"/>
      <c r="V20" s="4"/>
      <c r="W20" s="4"/>
      <c r="X20" s="4"/>
      <c r="Y20" s="4"/>
      <c r="Z20" s="4"/>
    </row>
    <row r="21" ht="15.0" customHeight="1">
      <c r="A21" s="28" t="s">
        <v>149</v>
      </c>
      <c r="B21" s="33">
        <f t="shared" ref="B21:C21" si="7">B19/B4</f>
        <v>0.07353289768</v>
      </c>
      <c r="C21" s="33">
        <f t="shared" si="7"/>
        <v>0.1181900971</v>
      </c>
      <c r="D21" s="17"/>
      <c r="E21" s="17"/>
      <c r="F21" s="4"/>
      <c r="G21" s="4"/>
      <c r="H21" s="4"/>
      <c r="I21" s="4"/>
      <c r="J21" s="4"/>
      <c r="K21" s="4"/>
      <c r="L21" s="4"/>
      <c r="M21" s="4"/>
      <c r="N21" s="4"/>
      <c r="O21" s="4"/>
      <c r="P21" s="4"/>
      <c r="Q21" s="4"/>
      <c r="R21" s="4"/>
      <c r="S21" s="4"/>
      <c r="T21" s="4"/>
      <c r="U21" s="4"/>
      <c r="V21" s="4"/>
      <c r="W21" s="4"/>
      <c r="X21" s="4"/>
      <c r="Y21" s="4"/>
      <c r="Z21" s="4"/>
    </row>
    <row r="22" ht="15.75" customHeight="1">
      <c r="A22" s="28" t="s">
        <v>150</v>
      </c>
      <c r="B22" s="33">
        <f t="shared" ref="B22:C22" si="8">B10/B4</f>
        <v>0.06572068708</v>
      </c>
      <c r="C22" s="33">
        <f t="shared" si="8"/>
        <v>0.06572068708</v>
      </c>
      <c r="D22" s="17"/>
      <c r="E22" s="17"/>
      <c r="F22" s="4"/>
      <c r="G22" s="4"/>
      <c r="H22" s="4"/>
      <c r="I22" s="4"/>
      <c r="J22" s="4"/>
      <c r="K22" s="4"/>
      <c r="L22" s="4"/>
      <c r="M22" s="4"/>
      <c r="N22" s="4"/>
      <c r="O22" s="4"/>
      <c r="P22" s="4"/>
      <c r="Q22" s="4"/>
      <c r="R22" s="4"/>
      <c r="S22" s="4"/>
      <c r="T22" s="4"/>
      <c r="U22" s="4"/>
      <c r="V22" s="4"/>
      <c r="W22" s="4"/>
      <c r="X22" s="4"/>
      <c r="Y22" s="4"/>
      <c r="Z22" s="4"/>
    </row>
    <row r="23" ht="15.75" customHeight="1">
      <c r="A23" s="28" t="s">
        <v>151</v>
      </c>
      <c r="B23" s="33">
        <f t="shared" ref="B23:C23" si="9">B8/B4</f>
        <v>0.1306646751</v>
      </c>
      <c r="C23" s="33">
        <f t="shared" si="9"/>
        <v>0.3484391337</v>
      </c>
      <c r="D23" s="17"/>
      <c r="E23" s="17"/>
      <c r="F23" s="4"/>
      <c r="G23" s="4"/>
      <c r="H23" s="4"/>
      <c r="I23" s="4"/>
      <c r="J23" s="4"/>
      <c r="K23" s="4"/>
      <c r="L23" s="4"/>
      <c r="M23" s="4"/>
      <c r="N23" s="4"/>
      <c r="O23" s="4"/>
      <c r="P23" s="4"/>
      <c r="Q23" s="4"/>
      <c r="R23" s="4"/>
      <c r="S23" s="4"/>
      <c r="T23" s="4"/>
      <c r="U23" s="4"/>
      <c r="V23" s="4"/>
      <c r="W23" s="4"/>
      <c r="X23" s="4"/>
      <c r="Y23" s="4"/>
      <c r="Z23" s="4"/>
    </row>
    <row r="24" ht="15.0" customHeight="1">
      <c r="A24" s="28" t="s">
        <v>152</v>
      </c>
      <c r="B24" s="31">
        <f t="shared" ref="B24:C24" si="10">B6-B7-B8-B9-B10-B15-B17-B18</f>
        <v>147690825</v>
      </c>
      <c r="C24" s="31">
        <f t="shared" si="10"/>
        <v>237384810</v>
      </c>
      <c r="D24" s="17"/>
      <c r="E24" s="17"/>
      <c r="F24" s="4"/>
      <c r="G24" s="4"/>
      <c r="H24" s="4"/>
      <c r="I24" s="4"/>
      <c r="J24" s="4"/>
      <c r="K24" s="4"/>
      <c r="L24" s="4"/>
      <c r="M24" s="4"/>
      <c r="N24" s="4"/>
      <c r="O24" s="4"/>
      <c r="P24" s="4"/>
      <c r="Q24" s="4"/>
      <c r="R24" s="4"/>
      <c r="S24" s="4"/>
      <c r="T24" s="4"/>
      <c r="U24" s="4"/>
      <c r="V24" s="4"/>
      <c r="W24" s="4"/>
      <c r="X24" s="4"/>
      <c r="Y24" s="4"/>
      <c r="Z24" s="4"/>
    </row>
    <row r="25" ht="15.75" customHeight="1">
      <c r="A25" s="17"/>
      <c r="B25" s="17"/>
      <c r="C25" s="17"/>
      <c r="D25" s="17"/>
      <c r="E25" s="17"/>
      <c r="F25" s="4"/>
      <c r="G25" s="4"/>
      <c r="H25" s="4"/>
      <c r="I25" s="4"/>
      <c r="J25" s="4"/>
      <c r="K25" s="4"/>
      <c r="L25" s="4"/>
      <c r="M25" s="4"/>
      <c r="N25" s="4"/>
      <c r="O25" s="4"/>
      <c r="P25" s="4"/>
      <c r="Q25" s="4"/>
      <c r="R25" s="4"/>
      <c r="S25" s="4"/>
      <c r="T25" s="4"/>
      <c r="U25" s="4"/>
      <c r="V25" s="4"/>
      <c r="W25" s="4"/>
      <c r="X25" s="4"/>
      <c r="Y25" s="4"/>
      <c r="Z25" s="4"/>
    </row>
    <row r="26" ht="15.0" customHeight="1">
      <c r="A26" s="15" t="s">
        <v>153</v>
      </c>
      <c r="B26" s="32"/>
      <c r="C26" s="16"/>
      <c r="D26" s="17"/>
      <c r="E26" s="17"/>
      <c r="F26" s="4"/>
      <c r="G26" s="4"/>
      <c r="H26" s="4"/>
      <c r="I26" s="4"/>
      <c r="J26" s="4"/>
      <c r="K26" s="4"/>
      <c r="L26" s="4"/>
      <c r="M26" s="4"/>
      <c r="N26" s="4"/>
      <c r="O26" s="4"/>
      <c r="P26" s="4"/>
      <c r="Q26" s="4"/>
      <c r="R26" s="4"/>
      <c r="S26" s="4"/>
      <c r="T26" s="4"/>
      <c r="U26" s="4"/>
      <c r="V26" s="4"/>
      <c r="W26" s="4"/>
      <c r="X26" s="4"/>
      <c r="Y26" s="4"/>
      <c r="Z26" s="4"/>
    </row>
    <row r="27" ht="15.0" customHeight="1">
      <c r="A27" s="18" t="s">
        <v>154</v>
      </c>
      <c r="B27" s="32"/>
      <c r="C27" s="16"/>
      <c r="D27" s="17"/>
      <c r="E27" s="17"/>
      <c r="F27" s="4"/>
      <c r="G27" s="4"/>
      <c r="H27" s="4"/>
      <c r="I27" s="4"/>
      <c r="J27" s="4"/>
      <c r="K27" s="4"/>
      <c r="L27" s="4"/>
      <c r="M27" s="4"/>
      <c r="N27" s="4"/>
      <c r="O27" s="4"/>
      <c r="P27" s="4"/>
      <c r="Q27" s="4"/>
      <c r="R27" s="4"/>
      <c r="S27" s="4"/>
      <c r="T27" s="4"/>
      <c r="U27" s="4"/>
      <c r="V27" s="4"/>
      <c r="W27" s="4"/>
      <c r="X27" s="4"/>
      <c r="Y27" s="4"/>
      <c r="Z27" s="4"/>
    </row>
    <row r="28" ht="15.0" customHeight="1">
      <c r="A28" s="18" t="s">
        <v>155</v>
      </c>
      <c r="B28" s="32"/>
      <c r="C28" s="16"/>
      <c r="D28" s="17"/>
      <c r="E28" s="17"/>
      <c r="F28" s="4"/>
      <c r="G28" s="4"/>
      <c r="H28" s="4"/>
      <c r="I28" s="4"/>
      <c r="J28" s="4"/>
      <c r="K28" s="4"/>
      <c r="L28" s="4"/>
      <c r="M28" s="4"/>
      <c r="N28" s="4"/>
      <c r="O28" s="4"/>
      <c r="P28" s="4"/>
      <c r="Q28" s="4"/>
      <c r="R28" s="4"/>
      <c r="S28" s="4"/>
      <c r="T28" s="4"/>
      <c r="U28" s="4"/>
      <c r="V28" s="4"/>
      <c r="W28" s="4"/>
      <c r="X28" s="4"/>
      <c r="Y28" s="4"/>
      <c r="Z28" s="4"/>
    </row>
    <row r="29" ht="15.0" customHeight="1">
      <c r="A29" s="18" t="s">
        <v>156</v>
      </c>
      <c r="B29" s="32"/>
      <c r="C29" s="16"/>
      <c r="D29" s="17"/>
      <c r="E29" s="17"/>
      <c r="F29" s="4"/>
      <c r="G29" s="4"/>
      <c r="H29" s="4"/>
      <c r="I29" s="4"/>
      <c r="J29" s="4"/>
      <c r="K29" s="4"/>
      <c r="L29" s="4"/>
      <c r="M29" s="4"/>
      <c r="N29" s="4"/>
      <c r="O29" s="4"/>
      <c r="P29" s="4"/>
      <c r="Q29" s="4"/>
      <c r="R29" s="4"/>
      <c r="S29" s="4"/>
      <c r="T29" s="4"/>
      <c r="U29" s="4"/>
      <c r="V29" s="4"/>
      <c r="W29" s="4"/>
      <c r="X29" s="4"/>
      <c r="Y29" s="4"/>
      <c r="Z29" s="4"/>
    </row>
    <row r="30" ht="15.0" customHeight="1">
      <c r="A30" s="18" t="s">
        <v>157</v>
      </c>
      <c r="B30" s="32"/>
      <c r="C30" s="16"/>
      <c r="D30" s="17"/>
      <c r="E30" s="17"/>
      <c r="F30" s="4"/>
      <c r="G30" s="4"/>
      <c r="H30" s="4"/>
      <c r="I30" s="4"/>
      <c r="J30" s="4"/>
      <c r="K30" s="4"/>
      <c r="L30" s="4"/>
      <c r="M30" s="4"/>
      <c r="N30" s="4"/>
      <c r="O30" s="4"/>
      <c r="P30" s="4"/>
      <c r="Q30" s="4"/>
      <c r="R30" s="4"/>
      <c r="S30" s="4"/>
      <c r="T30" s="4"/>
      <c r="U30" s="4"/>
      <c r="V30" s="4"/>
      <c r="W30" s="4"/>
      <c r="X30" s="4"/>
      <c r="Y30" s="4"/>
      <c r="Z30" s="4"/>
    </row>
    <row r="31" ht="15.75" customHeight="1">
      <c r="A31" s="17"/>
      <c r="B31" s="17"/>
      <c r="C31" s="17"/>
      <c r="D31" s="17"/>
      <c r="E31" s="17"/>
      <c r="F31" s="4"/>
      <c r="G31" s="4"/>
      <c r="H31" s="4"/>
      <c r="I31" s="4"/>
      <c r="J31" s="4"/>
      <c r="K31" s="4"/>
      <c r="L31" s="4"/>
      <c r="M31" s="4"/>
      <c r="N31" s="4"/>
      <c r="O31" s="4"/>
      <c r="P31" s="4"/>
      <c r="Q31" s="4"/>
      <c r="R31" s="4"/>
      <c r="S31" s="4"/>
      <c r="T31" s="4"/>
      <c r="U31" s="4"/>
      <c r="V31" s="4"/>
      <c r="W31" s="4"/>
      <c r="X31" s="4"/>
      <c r="Y31" s="4"/>
      <c r="Z31" s="4"/>
    </row>
    <row r="32" ht="15.75" customHeight="1">
      <c r="A32" s="17"/>
      <c r="B32" s="17"/>
      <c r="C32" s="17"/>
      <c r="D32" s="17"/>
      <c r="E32" s="17"/>
      <c r="F32" s="4"/>
      <c r="G32" s="4"/>
      <c r="H32" s="4"/>
      <c r="I32" s="4"/>
      <c r="J32" s="4"/>
      <c r="K32" s="4"/>
      <c r="L32" s="4"/>
      <c r="M32" s="4"/>
      <c r="N32" s="4"/>
      <c r="O32" s="4"/>
      <c r="P32" s="4"/>
      <c r="Q32" s="4"/>
      <c r="R32" s="4"/>
      <c r="S32" s="4"/>
      <c r="T32" s="4"/>
      <c r="U32" s="4"/>
      <c r="V32" s="4"/>
      <c r="W32" s="4"/>
      <c r="X32" s="4"/>
      <c r="Y32" s="4"/>
      <c r="Z32" s="4"/>
    </row>
    <row r="33" ht="15.75" customHeight="1">
      <c r="A33" s="17"/>
      <c r="B33" s="17"/>
      <c r="C33" s="17"/>
      <c r="D33" s="17"/>
      <c r="E33" s="17"/>
      <c r="F33" s="4"/>
      <c r="G33" s="4"/>
      <c r="H33" s="4"/>
      <c r="I33" s="4"/>
      <c r="J33" s="4"/>
      <c r="K33" s="4"/>
      <c r="L33" s="4"/>
      <c r="M33" s="4"/>
      <c r="N33" s="4"/>
      <c r="O33" s="4"/>
      <c r="P33" s="4"/>
      <c r="Q33" s="4"/>
      <c r="R33" s="4"/>
      <c r="S33" s="4"/>
      <c r="T33" s="4"/>
      <c r="U33" s="4"/>
      <c r="V33" s="4"/>
      <c r="W33" s="4"/>
      <c r="X33" s="4"/>
      <c r="Y33" s="4"/>
      <c r="Z33" s="4"/>
    </row>
    <row r="34" ht="15.75" customHeight="1">
      <c r="A34" s="17"/>
      <c r="B34" s="17"/>
      <c r="C34" s="17"/>
      <c r="D34" s="17"/>
      <c r="E34" s="17"/>
      <c r="F34" s="4"/>
      <c r="G34" s="4"/>
      <c r="H34" s="4"/>
      <c r="I34" s="4"/>
      <c r="J34" s="4"/>
      <c r="K34" s="4"/>
      <c r="L34" s="4"/>
      <c r="M34" s="4"/>
      <c r="N34" s="4"/>
      <c r="O34" s="4"/>
      <c r="P34" s="4"/>
      <c r="Q34" s="4"/>
      <c r="R34" s="4"/>
      <c r="S34" s="4"/>
      <c r="T34" s="4"/>
      <c r="U34" s="4"/>
      <c r="V34" s="4"/>
      <c r="W34" s="4"/>
      <c r="X34" s="4"/>
      <c r="Y34" s="4"/>
      <c r="Z34" s="4"/>
    </row>
    <row r="35" ht="15.75" customHeight="1">
      <c r="A35" s="17"/>
      <c r="B35" s="17"/>
      <c r="C35" s="17"/>
      <c r="D35" s="17"/>
      <c r="E35" s="17"/>
      <c r="F35" s="4"/>
      <c r="G35" s="4"/>
      <c r="H35" s="4"/>
      <c r="I35" s="4"/>
      <c r="J35" s="4"/>
      <c r="K35" s="4"/>
      <c r="L35" s="4"/>
      <c r="M35" s="4"/>
      <c r="N35" s="4"/>
      <c r="O35" s="4"/>
      <c r="P35" s="4"/>
      <c r="Q35" s="4"/>
      <c r="R35" s="4"/>
      <c r="S35" s="4"/>
      <c r="T35" s="4"/>
      <c r="U35" s="4"/>
      <c r="V35" s="4"/>
      <c r="W35" s="4"/>
      <c r="X35" s="4"/>
      <c r="Y35" s="4"/>
      <c r="Z35" s="4"/>
    </row>
    <row r="36" ht="15.75" customHeight="1">
      <c r="A36" s="17"/>
      <c r="B36" s="17"/>
      <c r="C36" s="17"/>
      <c r="D36" s="17"/>
      <c r="E36" s="17"/>
      <c r="F36" s="4"/>
      <c r="G36" s="4"/>
      <c r="H36" s="4"/>
      <c r="I36" s="4"/>
      <c r="J36" s="4"/>
      <c r="K36" s="4"/>
      <c r="L36" s="4"/>
      <c r="M36" s="4"/>
      <c r="N36" s="4"/>
      <c r="O36" s="4"/>
      <c r="P36" s="4"/>
      <c r="Q36" s="4"/>
      <c r="R36" s="4"/>
      <c r="S36" s="4"/>
      <c r="T36" s="4"/>
      <c r="U36" s="4"/>
      <c r="V36" s="4"/>
      <c r="W36" s="4"/>
      <c r="X36" s="4"/>
      <c r="Y36" s="4"/>
      <c r="Z36" s="4"/>
    </row>
    <row r="37" ht="15.75" customHeight="1">
      <c r="A37" s="17"/>
      <c r="B37" s="17"/>
      <c r="C37" s="17"/>
      <c r="D37" s="17"/>
      <c r="E37" s="17"/>
      <c r="F37" s="4"/>
      <c r="G37" s="4"/>
      <c r="H37" s="4"/>
      <c r="I37" s="4"/>
      <c r="J37" s="4"/>
      <c r="K37" s="4"/>
      <c r="L37" s="4"/>
      <c r="M37" s="4"/>
      <c r="N37" s="4"/>
      <c r="O37" s="4"/>
      <c r="P37" s="4"/>
      <c r="Q37" s="4"/>
      <c r="R37" s="4"/>
      <c r="S37" s="4"/>
      <c r="T37" s="4"/>
      <c r="U37" s="4"/>
      <c r="V37" s="4"/>
      <c r="W37" s="4"/>
      <c r="X37" s="4"/>
      <c r="Y37" s="4"/>
      <c r="Z37" s="4"/>
    </row>
    <row r="38" ht="15.75" customHeight="1">
      <c r="A38" s="17"/>
      <c r="B38" s="17"/>
      <c r="C38" s="17"/>
      <c r="D38" s="17"/>
      <c r="E38" s="17"/>
      <c r="F38" s="4"/>
      <c r="G38" s="4"/>
      <c r="H38" s="4"/>
      <c r="I38" s="4"/>
      <c r="J38" s="4"/>
      <c r="K38" s="4"/>
      <c r="L38" s="4"/>
      <c r="M38" s="4"/>
      <c r="N38" s="4"/>
      <c r="O38" s="4"/>
      <c r="P38" s="4"/>
      <c r="Q38" s="4"/>
      <c r="R38" s="4"/>
      <c r="S38" s="4"/>
      <c r="T38" s="4"/>
      <c r="U38" s="4"/>
      <c r="V38" s="4"/>
      <c r="W38" s="4"/>
      <c r="X38" s="4"/>
      <c r="Y38" s="4"/>
      <c r="Z38" s="4"/>
    </row>
    <row r="39" ht="15.75" customHeight="1">
      <c r="A39" s="17"/>
      <c r="B39" s="17"/>
      <c r="C39" s="17"/>
      <c r="D39" s="17"/>
      <c r="E39" s="17"/>
      <c r="F39" s="4"/>
      <c r="G39" s="4"/>
      <c r="H39" s="4"/>
      <c r="I39" s="4"/>
      <c r="J39" s="4"/>
      <c r="K39" s="4"/>
      <c r="L39" s="4"/>
      <c r="M39" s="4"/>
      <c r="N39" s="4"/>
      <c r="O39" s="4"/>
      <c r="P39" s="4"/>
      <c r="Q39" s="4"/>
      <c r="R39" s="4"/>
      <c r="S39" s="4"/>
      <c r="T39" s="4"/>
      <c r="U39" s="4"/>
      <c r="V39" s="4"/>
      <c r="W39" s="4"/>
      <c r="X39" s="4"/>
      <c r="Y39" s="4"/>
      <c r="Z39" s="4"/>
    </row>
    <row r="40" ht="15.75" customHeight="1">
      <c r="A40" s="17"/>
      <c r="B40" s="17"/>
      <c r="C40" s="17"/>
      <c r="D40" s="17"/>
      <c r="E40" s="17"/>
      <c r="F40" s="4"/>
      <c r="G40" s="4"/>
      <c r="H40" s="4"/>
      <c r="I40" s="4"/>
      <c r="J40" s="4"/>
      <c r="K40" s="4"/>
      <c r="L40" s="4"/>
      <c r="M40" s="4"/>
      <c r="N40" s="4"/>
      <c r="O40" s="4"/>
      <c r="P40" s="4"/>
      <c r="Q40" s="4"/>
      <c r="R40" s="4"/>
      <c r="S40" s="4"/>
      <c r="T40" s="4"/>
      <c r="U40" s="4"/>
      <c r="V40" s="4"/>
      <c r="W40" s="4"/>
      <c r="X40" s="4"/>
      <c r="Y40" s="4"/>
      <c r="Z40" s="4"/>
    </row>
    <row r="41" ht="15.75" customHeight="1">
      <c r="A41" s="17"/>
      <c r="B41" s="17"/>
      <c r="C41" s="17"/>
      <c r="D41" s="17"/>
      <c r="E41" s="17"/>
      <c r="F41" s="4"/>
      <c r="G41" s="4"/>
      <c r="H41" s="4"/>
      <c r="I41" s="4"/>
      <c r="J41" s="4"/>
      <c r="K41" s="4"/>
      <c r="L41" s="4"/>
      <c r="M41" s="4"/>
      <c r="N41" s="4"/>
      <c r="O41" s="4"/>
      <c r="P41" s="4"/>
      <c r="Q41" s="4"/>
      <c r="R41" s="4"/>
      <c r="S41" s="4"/>
      <c r="T41" s="4"/>
      <c r="U41" s="4"/>
      <c r="V41" s="4"/>
      <c r="W41" s="4"/>
      <c r="X41" s="4"/>
      <c r="Y41" s="4"/>
      <c r="Z41" s="4"/>
    </row>
    <row r="42" ht="15.75" customHeight="1">
      <c r="A42" s="17"/>
      <c r="B42" s="17"/>
      <c r="C42" s="17"/>
      <c r="D42" s="17"/>
      <c r="E42" s="17"/>
      <c r="F42" s="4"/>
      <c r="G42" s="4"/>
      <c r="H42" s="4"/>
      <c r="I42" s="4"/>
      <c r="J42" s="4"/>
      <c r="K42" s="4"/>
      <c r="L42" s="4"/>
      <c r="M42" s="4"/>
      <c r="N42" s="4"/>
      <c r="O42" s="4"/>
      <c r="P42" s="4"/>
      <c r="Q42" s="4"/>
      <c r="R42" s="4"/>
      <c r="S42" s="4"/>
      <c r="T42" s="4"/>
      <c r="U42" s="4"/>
      <c r="V42" s="4"/>
      <c r="W42" s="4"/>
      <c r="X42" s="4"/>
      <c r="Y42" s="4"/>
      <c r="Z42" s="4"/>
    </row>
    <row r="43" ht="15.75" customHeight="1">
      <c r="A43" s="17"/>
      <c r="B43" s="17"/>
      <c r="C43" s="17"/>
      <c r="D43" s="17"/>
      <c r="E43" s="17"/>
      <c r="F43" s="4"/>
      <c r="G43" s="4"/>
      <c r="H43" s="4"/>
      <c r="I43" s="4"/>
      <c r="J43" s="4"/>
      <c r="K43" s="4"/>
      <c r="L43" s="4"/>
      <c r="M43" s="4"/>
      <c r="N43" s="4"/>
      <c r="O43" s="4"/>
      <c r="P43" s="4"/>
      <c r="Q43" s="4"/>
      <c r="R43" s="4"/>
      <c r="S43" s="4"/>
      <c r="T43" s="4"/>
      <c r="U43" s="4"/>
      <c r="V43" s="4"/>
      <c r="W43" s="4"/>
      <c r="X43" s="4"/>
      <c r="Y43" s="4"/>
      <c r="Z43" s="4"/>
    </row>
    <row r="44" ht="15.75" customHeight="1">
      <c r="A44" s="17"/>
      <c r="B44" s="17"/>
      <c r="C44" s="17"/>
      <c r="D44" s="17"/>
      <c r="E44" s="17"/>
      <c r="F44" s="4"/>
      <c r="G44" s="4"/>
      <c r="H44" s="4"/>
      <c r="I44" s="4"/>
      <c r="J44" s="4"/>
      <c r="K44" s="4"/>
      <c r="L44" s="4"/>
      <c r="M44" s="4"/>
      <c r="N44" s="4"/>
      <c r="O44" s="4"/>
      <c r="P44" s="4"/>
      <c r="Q44" s="4"/>
      <c r="R44" s="4"/>
      <c r="S44" s="4"/>
      <c r="T44" s="4"/>
      <c r="U44" s="4"/>
      <c r="V44" s="4"/>
      <c r="W44" s="4"/>
      <c r="X44" s="4"/>
      <c r="Y44" s="4"/>
      <c r="Z44" s="4"/>
    </row>
    <row r="45" ht="15.75" customHeight="1">
      <c r="A45" s="17"/>
      <c r="B45" s="17"/>
      <c r="C45" s="17"/>
      <c r="D45" s="17"/>
      <c r="E45" s="17"/>
      <c r="F45" s="4"/>
      <c r="G45" s="4"/>
      <c r="H45" s="4"/>
      <c r="I45" s="4"/>
      <c r="J45" s="4"/>
      <c r="K45" s="4"/>
      <c r="L45" s="4"/>
      <c r="M45" s="4"/>
      <c r="N45" s="4"/>
      <c r="O45" s="4"/>
      <c r="P45" s="4"/>
      <c r="Q45" s="4"/>
      <c r="R45" s="4"/>
      <c r="S45" s="4"/>
      <c r="T45" s="4"/>
      <c r="U45" s="4"/>
      <c r="V45" s="4"/>
      <c r="W45" s="4"/>
      <c r="X45" s="4"/>
      <c r="Y45" s="4"/>
      <c r="Z45" s="4"/>
    </row>
    <row r="46" ht="15.75" customHeight="1">
      <c r="A46" s="17"/>
      <c r="B46" s="17"/>
      <c r="C46" s="17"/>
      <c r="D46" s="17"/>
      <c r="E46" s="17"/>
      <c r="F46" s="4"/>
      <c r="G46" s="4"/>
      <c r="H46" s="4"/>
      <c r="I46" s="4"/>
      <c r="J46" s="4"/>
      <c r="K46" s="4"/>
      <c r="L46" s="4"/>
      <c r="M46" s="4"/>
      <c r="N46" s="4"/>
      <c r="O46" s="4"/>
      <c r="P46" s="4"/>
      <c r="Q46" s="4"/>
      <c r="R46" s="4"/>
      <c r="S46" s="4"/>
      <c r="T46" s="4"/>
      <c r="U46" s="4"/>
      <c r="V46" s="4"/>
      <c r="W46" s="4"/>
      <c r="X46" s="4"/>
      <c r="Y46" s="4"/>
      <c r="Z46" s="4"/>
    </row>
    <row r="47" ht="15.75" customHeight="1">
      <c r="A47" s="17"/>
      <c r="B47" s="17"/>
      <c r="C47" s="17"/>
      <c r="D47" s="17"/>
      <c r="E47" s="17"/>
      <c r="F47" s="4"/>
      <c r="G47" s="4"/>
      <c r="H47" s="4"/>
      <c r="I47" s="4"/>
      <c r="J47" s="4"/>
      <c r="K47" s="4"/>
      <c r="L47" s="4"/>
      <c r="M47" s="4"/>
      <c r="N47" s="4"/>
      <c r="O47" s="4"/>
      <c r="P47" s="4"/>
      <c r="Q47" s="4"/>
      <c r="R47" s="4"/>
      <c r="S47" s="4"/>
      <c r="T47" s="4"/>
      <c r="U47" s="4"/>
      <c r="V47" s="4"/>
      <c r="W47" s="4"/>
      <c r="X47" s="4"/>
      <c r="Y47" s="4"/>
      <c r="Z47" s="4"/>
    </row>
    <row r="48" ht="15.75" customHeight="1">
      <c r="A48" s="17"/>
      <c r="B48" s="17"/>
      <c r="C48" s="17"/>
      <c r="D48" s="17"/>
      <c r="E48" s="17"/>
      <c r="F48" s="4"/>
      <c r="G48" s="4"/>
      <c r="H48" s="4"/>
      <c r="I48" s="4"/>
      <c r="J48" s="4"/>
      <c r="K48" s="4"/>
      <c r="L48" s="4"/>
      <c r="M48" s="4"/>
      <c r="N48" s="4"/>
      <c r="O48" s="4"/>
      <c r="P48" s="4"/>
      <c r="Q48" s="4"/>
      <c r="R48" s="4"/>
      <c r="S48" s="4"/>
      <c r="T48" s="4"/>
      <c r="U48" s="4"/>
      <c r="V48" s="4"/>
      <c r="W48" s="4"/>
      <c r="X48" s="4"/>
      <c r="Y48" s="4"/>
      <c r="Z48" s="4"/>
    </row>
    <row r="49" ht="15.75" customHeight="1">
      <c r="A49" s="17"/>
      <c r="B49" s="17"/>
      <c r="C49" s="17"/>
      <c r="D49" s="17"/>
      <c r="E49" s="17"/>
      <c r="F49" s="4"/>
      <c r="G49" s="4"/>
      <c r="H49" s="4"/>
      <c r="I49" s="4"/>
      <c r="J49" s="4"/>
      <c r="K49" s="4"/>
      <c r="L49" s="4"/>
      <c r="M49" s="4"/>
      <c r="N49" s="4"/>
      <c r="O49" s="4"/>
      <c r="P49" s="4"/>
      <c r="Q49" s="4"/>
      <c r="R49" s="4"/>
      <c r="S49" s="4"/>
      <c r="T49" s="4"/>
      <c r="U49" s="4"/>
      <c r="V49" s="4"/>
      <c r="W49" s="4"/>
      <c r="X49" s="4"/>
      <c r="Y49" s="4"/>
      <c r="Z49" s="4"/>
    </row>
    <row r="50" ht="15.75" customHeight="1">
      <c r="A50" s="17"/>
      <c r="B50" s="17"/>
      <c r="C50" s="17"/>
      <c r="D50" s="17"/>
      <c r="E50" s="17"/>
      <c r="F50" s="4"/>
      <c r="G50" s="4"/>
      <c r="H50" s="4"/>
      <c r="I50" s="4"/>
      <c r="J50" s="4"/>
      <c r="K50" s="4"/>
      <c r="L50" s="4"/>
      <c r="M50" s="4"/>
      <c r="N50" s="4"/>
      <c r="O50" s="4"/>
      <c r="P50" s="4"/>
      <c r="Q50" s="4"/>
      <c r="R50" s="4"/>
      <c r="S50" s="4"/>
      <c r="T50" s="4"/>
      <c r="U50" s="4"/>
      <c r="V50" s="4"/>
      <c r="W50" s="4"/>
      <c r="X50" s="4"/>
      <c r="Y50" s="4"/>
      <c r="Z50" s="4"/>
    </row>
    <row r="51" ht="15.75" customHeight="1">
      <c r="A51" s="17"/>
      <c r="B51" s="17"/>
      <c r="C51" s="17"/>
      <c r="D51" s="17"/>
      <c r="E51" s="17"/>
      <c r="F51" s="4"/>
      <c r="G51" s="4"/>
      <c r="H51" s="4"/>
      <c r="I51" s="4"/>
      <c r="J51" s="4"/>
      <c r="K51" s="4"/>
      <c r="L51" s="4"/>
      <c r="M51" s="4"/>
      <c r="N51" s="4"/>
      <c r="O51" s="4"/>
      <c r="P51" s="4"/>
      <c r="Q51" s="4"/>
      <c r="R51" s="4"/>
      <c r="S51" s="4"/>
      <c r="T51" s="4"/>
      <c r="U51" s="4"/>
      <c r="V51" s="4"/>
      <c r="W51" s="4"/>
      <c r="X51" s="4"/>
      <c r="Y51" s="4"/>
      <c r="Z51" s="4"/>
    </row>
    <row r="52" ht="15.75" customHeight="1">
      <c r="A52" s="17"/>
      <c r="B52" s="17"/>
      <c r="C52" s="17"/>
      <c r="D52" s="17"/>
      <c r="E52" s="17"/>
      <c r="F52" s="4"/>
      <c r="G52" s="4"/>
      <c r="H52" s="4"/>
      <c r="I52" s="4"/>
      <c r="J52" s="4"/>
      <c r="K52" s="4"/>
      <c r="L52" s="4"/>
      <c r="M52" s="4"/>
      <c r="N52" s="4"/>
      <c r="O52" s="4"/>
      <c r="P52" s="4"/>
      <c r="Q52" s="4"/>
      <c r="R52" s="4"/>
      <c r="S52" s="4"/>
      <c r="T52" s="4"/>
      <c r="U52" s="4"/>
      <c r="V52" s="4"/>
      <c r="W52" s="4"/>
      <c r="X52" s="4"/>
      <c r="Y52" s="4"/>
      <c r="Z52" s="4"/>
    </row>
    <row r="53" ht="15.75" customHeight="1">
      <c r="A53" s="17"/>
      <c r="B53" s="17"/>
      <c r="C53" s="17"/>
      <c r="D53" s="17"/>
      <c r="E53" s="17"/>
      <c r="F53" s="4"/>
      <c r="G53" s="4"/>
      <c r="H53" s="4"/>
      <c r="I53" s="4"/>
      <c r="J53" s="4"/>
      <c r="K53" s="4"/>
      <c r="L53" s="4"/>
      <c r="M53" s="4"/>
      <c r="N53" s="4"/>
      <c r="O53" s="4"/>
      <c r="P53" s="4"/>
      <c r="Q53" s="4"/>
      <c r="R53" s="4"/>
      <c r="S53" s="4"/>
      <c r="T53" s="4"/>
      <c r="U53" s="4"/>
      <c r="V53" s="4"/>
      <c r="W53" s="4"/>
      <c r="X53" s="4"/>
      <c r="Y53" s="4"/>
      <c r="Z53" s="4"/>
    </row>
    <row r="54" ht="15.75" customHeight="1">
      <c r="A54" s="17"/>
      <c r="B54" s="17"/>
      <c r="C54" s="17"/>
      <c r="D54" s="17"/>
      <c r="E54" s="17"/>
      <c r="F54" s="4"/>
      <c r="G54" s="4"/>
      <c r="H54" s="4"/>
      <c r="I54" s="4"/>
      <c r="J54" s="4"/>
      <c r="K54" s="4"/>
      <c r="L54" s="4"/>
      <c r="M54" s="4"/>
      <c r="N54" s="4"/>
      <c r="O54" s="4"/>
      <c r="P54" s="4"/>
      <c r="Q54" s="4"/>
      <c r="R54" s="4"/>
      <c r="S54" s="4"/>
      <c r="T54" s="4"/>
      <c r="U54" s="4"/>
      <c r="V54" s="4"/>
      <c r="W54" s="4"/>
      <c r="X54" s="4"/>
      <c r="Y54" s="4"/>
      <c r="Z54" s="4"/>
    </row>
    <row r="55" ht="15.75" customHeight="1">
      <c r="A55" s="17"/>
      <c r="B55" s="17"/>
      <c r="C55" s="17"/>
      <c r="D55" s="17"/>
      <c r="E55" s="17"/>
      <c r="F55" s="4"/>
      <c r="G55" s="4"/>
      <c r="H55" s="4"/>
      <c r="I55" s="4"/>
      <c r="J55" s="4"/>
      <c r="K55" s="4"/>
      <c r="L55" s="4"/>
      <c r="M55" s="4"/>
      <c r="N55" s="4"/>
      <c r="O55" s="4"/>
      <c r="P55" s="4"/>
      <c r="Q55" s="4"/>
      <c r="R55" s="4"/>
      <c r="S55" s="4"/>
      <c r="T55" s="4"/>
      <c r="U55" s="4"/>
      <c r="V55" s="4"/>
      <c r="W55" s="4"/>
      <c r="X55" s="4"/>
      <c r="Y55" s="4"/>
      <c r="Z55" s="4"/>
    </row>
    <row r="56" ht="15.75" customHeight="1">
      <c r="A56" s="17"/>
      <c r="B56" s="17"/>
      <c r="C56" s="17"/>
      <c r="D56" s="17"/>
      <c r="E56" s="17"/>
      <c r="F56" s="4"/>
      <c r="G56" s="4"/>
      <c r="H56" s="4"/>
      <c r="I56" s="4"/>
      <c r="J56" s="4"/>
      <c r="K56" s="4"/>
      <c r="L56" s="4"/>
      <c r="M56" s="4"/>
      <c r="N56" s="4"/>
      <c r="O56" s="4"/>
      <c r="P56" s="4"/>
      <c r="Q56" s="4"/>
      <c r="R56" s="4"/>
      <c r="S56" s="4"/>
      <c r="T56" s="4"/>
      <c r="U56" s="4"/>
      <c r="V56" s="4"/>
      <c r="W56" s="4"/>
      <c r="X56" s="4"/>
      <c r="Y56" s="4"/>
      <c r="Z56" s="4"/>
    </row>
    <row r="57" ht="15.75" customHeight="1">
      <c r="A57" s="17"/>
      <c r="B57" s="17"/>
      <c r="C57" s="17"/>
      <c r="D57" s="17"/>
      <c r="E57" s="17"/>
      <c r="F57" s="4"/>
      <c r="G57" s="4"/>
      <c r="H57" s="4"/>
      <c r="I57" s="4"/>
      <c r="J57" s="4"/>
      <c r="K57" s="4"/>
      <c r="L57" s="4"/>
      <c r="M57" s="4"/>
      <c r="N57" s="4"/>
      <c r="O57" s="4"/>
      <c r="P57" s="4"/>
      <c r="Q57" s="4"/>
      <c r="R57" s="4"/>
      <c r="S57" s="4"/>
      <c r="T57" s="4"/>
      <c r="U57" s="4"/>
      <c r="V57" s="4"/>
      <c r="W57" s="4"/>
      <c r="X57" s="4"/>
      <c r="Y57" s="4"/>
      <c r="Z57" s="4"/>
    </row>
    <row r="58" ht="15.75" customHeight="1">
      <c r="A58" s="17"/>
      <c r="B58" s="17"/>
      <c r="C58" s="17"/>
      <c r="D58" s="17"/>
      <c r="E58" s="17"/>
      <c r="F58" s="4"/>
      <c r="G58" s="4"/>
      <c r="H58" s="4"/>
      <c r="I58" s="4"/>
      <c r="J58" s="4"/>
      <c r="K58" s="4"/>
      <c r="L58" s="4"/>
      <c r="M58" s="4"/>
      <c r="N58" s="4"/>
      <c r="O58" s="4"/>
      <c r="P58" s="4"/>
      <c r="Q58" s="4"/>
      <c r="R58" s="4"/>
      <c r="S58" s="4"/>
      <c r="T58" s="4"/>
      <c r="U58" s="4"/>
      <c r="V58" s="4"/>
      <c r="W58" s="4"/>
      <c r="X58" s="4"/>
      <c r="Y58" s="4"/>
      <c r="Z58" s="4"/>
    </row>
    <row r="59" ht="15.75" customHeight="1">
      <c r="A59" s="17"/>
      <c r="B59" s="17"/>
      <c r="C59" s="17"/>
      <c r="D59" s="17"/>
      <c r="E59" s="17"/>
      <c r="F59" s="4"/>
      <c r="G59" s="4"/>
      <c r="H59" s="4"/>
      <c r="I59" s="4"/>
      <c r="J59" s="4"/>
      <c r="K59" s="4"/>
      <c r="L59" s="4"/>
      <c r="M59" s="4"/>
      <c r="N59" s="4"/>
      <c r="O59" s="4"/>
      <c r="P59" s="4"/>
      <c r="Q59" s="4"/>
      <c r="R59" s="4"/>
      <c r="S59" s="4"/>
      <c r="T59" s="4"/>
      <c r="U59" s="4"/>
      <c r="V59" s="4"/>
      <c r="W59" s="4"/>
      <c r="X59" s="4"/>
      <c r="Y59" s="4"/>
      <c r="Z59" s="4"/>
    </row>
    <row r="60" ht="15.75" customHeight="1">
      <c r="A60" s="17"/>
      <c r="B60" s="17"/>
      <c r="C60" s="17"/>
      <c r="D60" s="17"/>
      <c r="E60" s="17"/>
      <c r="F60" s="4"/>
      <c r="G60" s="4"/>
      <c r="H60" s="4"/>
      <c r="I60" s="4"/>
      <c r="J60" s="4"/>
      <c r="K60" s="4"/>
      <c r="L60" s="4"/>
      <c r="M60" s="4"/>
      <c r="N60" s="4"/>
      <c r="O60" s="4"/>
      <c r="P60" s="4"/>
      <c r="Q60" s="4"/>
      <c r="R60" s="4"/>
      <c r="S60" s="4"/>
      <c r="T60" s="4"/>
      <c r="U60" s="4"/>
      <c r="V60" s="4"/>
      <c r="W60" s="4"/>
      <c r="X60" s="4"/>
      <c r="Y60" s="4"/>
      <c r="Z60" s="4"/>
    </row>
    <row r="61" ht="15.75" customHeight="1">
      <c r="A61" s="17"/>
      <c r="B61" s="17"/>
      <c r="C61" s="17"/>
      <c r="D61" s="17"/>
      <c r="E61" s="17"/>
      <c r="F61" s="4"/>
      <c r="G61" s="4"/>
      <c r="H61" s="4"/>
      <c r="I61" s="4"/>
      <c r="J61" s="4"/>
      <c r="K61" s="4"/>
      <c r="L61" s="4"/>
      <c r="M61" s="4"/>
      <c r="N61" s="4"/>
      <c r="O61" s="4"/>
      <c r="P61" s="4"/>
      <c r="Q61" s="4"/>
      <c r="R61" s="4"/>
      <c r="S61" s="4"/>
      <c r="T61" s="4"/>
      <c r="U61" s="4"/>
      <c r="V61" s="4"/>
      <c r="W61" s="4"/>
      <c r="X61" s="4"/>
      <c r="Y61" s="4"/>
      <c r="Z61" s="4"/>
    </row>
    <row r="62" ht="15.75" customHeight="1">
      <c r="A62" s="17"/>
      <c r="B62" s="17"/>
      <c r="C62" s="17"/>
      <c r="D62" s="17"/>
      <c r="E62" s="17"/>
      <c r="F62" s="4"/>
      <c r="G62" s="4"/>
      <c r="H62" s="4"/>
      <c r="I62" s="4"/>
      <c r="J62" s="4"/>
      <c r="K62" s="4"/>
      <c r="L62" s="4"/>
      <c r="M62" s="4"/>
      <c r="N62" s="4"/>
      <c r="O62" s="4"/>
      <c r="P62" s="4"/>
      <c r="Q62" s="4"/>
      <c r="R62" s="4"/>
      <c r="S62" s="4"/>
      <c r="T62" s="4"/>
      <c r="U62" s="4"/>
      <c r="V62" s="4"/>
      <c r="W62" s="4"/>
      <c r="X62" s="4"/>
      <c r="Y62" s="4"/>
      <c r="Z62" s="4"/>
    </row>
    <row r="63" ht="15.75" customHeight="1">
      <c r="A63" s="17"/>
      <c r="B63" s="17"/>
      <c r="C63" s="17"/>
      <c r="D63" s="17"/>
      <c r="E63" s="17"/>
      <c r="F63" s="4"/>
      <c r="G63" s="4"/>
      <c r="H63" s="4"/>
      <c r="I63" s="4"/>
      <c r="J63" s="4"/>
      <c r="K63" s="4"/>
      <c r="L63" s="4"/>
      <c r="M63" s="4"/>
      <c r="N63" s="4"/>
      <c r="O63" s="4"/>
      <c r="P63" s="4"/>
      <c r="Q63" s="4"/>
      <c r="R63" s="4"/>
      <c r="S63" s="4"/>
      <c r="T63" s="4"/>
      <c r="U63" s="4"/>
      <c r="V63" s="4"/>
      <c r="W63" s="4"/>
      <c r="X63" s="4"/>
      <c r="Y63" s="4"/>
      <c r="Z63" s="4"/>
    </row>
    <row r="64" ht="15.75" customHeight="1">
      <c r="A64" s="17"/>
      <c r="B64" s="17"/>
      <c r="C64" s="17"/>
      <c r="D64" s="17"/>
      <c r="E64" s="17"/>
      <c r="F64" s="4"/>
      <c r="G64" s="4"/>
      <c r="H64" s="4"/>
      <c r="I64" s="4"/>
      <c r="J64" s="4"/>
      <c r="K64" s="4"/>
      <c r="L64" s="4"/>
      <c r="M64" s="4"/>
      <c r="N64" s="4"/>
      <c r="O64" s="4"/>
      <c r="P64" s="4"/>
      <c r="Q64" s="4"/>
      <c r="R64" s="4"/>
      <c r="S64" s="4"/>
      <c r="T64" s="4"/>
      <c r="U64" s="4"/>
      <c r="V64" s="4"/>
      <c r="W64" s="4"/>
      <c r="X64" s="4"/>
      <c r="Y64" s="4"/>
      <c r="Z64" s="4"/>
    </row>
    <row r="65" ht="15.75" customHeight="1">
      <c r="A65" s="17"/>
      <c r="B65" s="17"/>
      <c r="C65" s="17"/>
      <c r="D65" s="17"/>
      <c r="E65" s="17"/>
      <c r="F65" s="4"/>
      <c r="G65" s="4"/>
      <c r="H65" s="4"/>
      <c r="I65" s="4"/>
      <c r="J65" s="4"/>
      <c r="K65" s="4"/>
      <c r="L65" s="4"/>
      <c r="M65" s="4"/>
      <c r="N65" s="4"/>
      <c r="O65" s="4"/>
      <c r="P65" s="4"/>
      <c r="Q65" s="4"/>
      <c r="R65" s="4"/>
      <c r="S65" s="4"/>
      <c r="T65" s="4"/>
      <c r="U65" s="4"/>
      <c r="V65" s="4"/>
      <c r="W65" s="4"/>
      <c r="X65" s="4"/>
      <c r="Y65" s="4"/>
      <c r="Z65" s="4"/>
    </row>
    <row r="66" ht="15.75" customHeight="1">
      <c r="A66" s="17"/>
      <c r="B66" s="17"/>
      <c r="C66" s="17"/>
      <c r="D66" s="17"/>
      <c r="E66" s="17"/>
      <c r="F66" s="4"/>
      <c r="G66" s="4"/>
      <c r="H66" s="4"/>
      <c r="I66" s="4"/>
      <c r="J66" s="4"/>
      <c r="K66" s="4"/>
      <c r="L66" s="4"/>
      <c r="M66" s="4"/>
      <c r="N66" s="4"/>
      <c r="O66" s="4"/>
      <c r="P66" s="4"/>
      <c r="Q66" s="4"/>
      <c r="R66" s="4"/>
      <c r="S66" s="4"/>
      <c r="T66" s="4"/>
      <c r="U66" s="4"/>
      <c r="V66" s="4"/>
      <c r="W66" s="4"/>
      <c r="X66" s="4"/>
      <c r="Y66" s="4"/>
      <c r="Z66" s="4"/>
    </row>
    <row r="67" ht="15.75" customHeight="1">
      <c r="A67" s="17"/>
      <c r="B67" s="17"/>
      <c r="C67" s="17"/>
      <c r="D67" s="17"/>
      <c r="E67" s="17"/>
      <c r="F67" s="4"/>
      <c r="G67" s="4"/>
      <c r="H67" s="4"/>
      <c r="I67" s="4"/>
      <c r="J67" s="4"/>
      <c r="K67" s="4"/>
      <c r="L67" s="4"/>
      <c r="M67" s="4"/>
      <c r="N67" s="4"/>
      <c r="O67" s="4"/>
      <c r="P67" s="4"/>
      <c r="Q67" s="4"/>
      <c r="R67" s="4"/>
      <c r="S67" s="4"/>
      <c r="T67" s="4"/>
      <c r="U67" s="4"/>
      <c r="V67" s="4"/>
      <c r="W67" s="4"/>
      <c r="X67" s="4"/>
      <c r="Y67" s="4"/>
      <c r="Z67" s="4"/>
    </row>
    <row r="68" ht="15.75" customHeight="1">
      <c r="A68" s="17"/>
      <c r="B68" s="17"/>
      <c r="C68" s="17"/>
      <c r="D68" s="17"/>
      <c r="E68" s="17"/>
      <c r="F68" s="4"/>
      <c r="G68" s="4"/>
      <c r="H68" s="4"/>
      <c r="I68" s="4"/>
      <c r="J68" s="4"/>
      <c r="K68" s="4"/>
      <c r="L68" s="4"/>
      <c r="M68" s="4"/>
      <c r="N68" s="4"/>
      <c r="O68" s="4"/>
      <c r="P68" s="4"/>
      <c r="Q68" s="4"/>
      <c r="R68" s="4"/>
      <c r="S68" s="4"/>
      <c r="T68" s="4"/>
      <c r="U68" s="4"/>
      <c r="V68" s="4"/>
      <c r="W68" s="4"/>
      <c r="X68" s="4"/>
      <c r="Y68" s="4"/>
      <c r="Z68" s="4"/>
    </row>
    <row r="69" ht="15.75" customHeight="1">
      <c r="A69" s="17"/>
      <c r="B69" s="17"/>
      <c r="C69" s="17"/>
      <c r="D69" s="17"/>
      <c r="E69" s="17"/>
      <c r="F69" s="4"/>
      <c r="G69" s="4"/>
      <c r="H69" s="4"/>
      <c r="I69" s="4"/>
      <c r="J69" s="4"/>
      <c r="K69" s="4"/>
      <c r="L69" s="4"/>
      <c r="M69" s="4"/>
      <c r="N69" s="4"/>
      <c r="O69" s="4"/>
      <c r="P69" s="4"/>
      <c r="Q69" s="4"/>
      <c r="R69" s="4"/>
      <c r="S69" s="4"/>
      <c r="T69" s="4"/>
      <c r="U69" s="4"/>
      <c r="V69" s="4"/>
      <c r="W69" s="4"/>
      <c r="X69" s="4"/>
      <c r="Y69" s="4"/>
      <c r="Z69" s="4"/>
    </row>
    <row r="70" ht="15.75" customHeight="1">
      <c r="A70" s="17"/>
      <c r="B70" s="17"/>
      <c r="C70" s="17"/>
      <c r="D70" s="17"/>
      <c r="E70" s="17"/>
      <c r="F70" s="4"/>
      <c r="G70" s="4"/>
      <c r="H70" s="4"/>
      <c r="I70" s="4"/>
      <c r="J70" s="4"/>
      <c r="K70" s="4"/>
      <c r="L70" s="4"/>
      <c r="M70" s="4"/>
      <c r="N70" s="4"/>
      <c r="O70" s="4"/>
      <c r="P70" s="4"/>
      <c r="Q70" s="4"/>
      <c r="R70" s="4"/>
      <c r="S70" s="4"/>
      <c r="T70" s="4"/>
      <c r="U70" s="4"/>
      <c r="V70" s="4"/>
      <c r="W70" s="4"/>
      <c r="X70" s="4"/>
      <c r="Y70" s="4"/>
      <c r="Z70" s="4"/>
    </row>
    <row r="71" ht="15.75" customHeight="1">
      <c r="A71" s="17"/>
      <c r="B71" s="17"/>
      <c r="C71" s="17"/>
      <c r="D71" s="17"/>
      <c r="E71" s="17"/>
      <c r="F71" s="4"/>
      <c r="G71" s="4"/>
      <c r="H71" s="4"/>
      <c r="I71" s="4"/>
      <c r="J71" s="4"/>
      <c r="K71" s="4"/>
      <c r="L71" s="4"/>
      <c r="M71" s="4"/>
      <c r="N71" s="4"/>
      <c r="O71" s="4"/>
      <c r="P71" s="4"/>
      <c r="Q71" s="4"/>
      <c r="R71" s="4"/>
      <c r="S71" s="4"/>
      <c r="T71" s="4"/>
      <c r="U71" s="4"/>
      <c r="V71" s="4"/>
      <c r="W71" s="4"/>
      <c r="X71" s="4"/>
      <c r="Y71" s="4"/>
      <c r="Z71" s="4"/>
    </row>
    <row r="72" ht="15.75" customHeight="1">
      <c r="A72" s="17"/>
      <c r="B72" s="17"/>
      <c r="C72" s="17"/>
      <c r="D72" s="17"/>
      <c r="E72" s="17"/>
      <c r="F72" s="4"/>
      <c r="G72" s="4"/>
      <c r="H72" s="4"/>
      <c r="I72" s="4"/>
      <c r="J72" s="4"/>
      <c r="K72" s="4"/>
      <c r="L72" s="4"/>
      <c r="M72" s="4"/>
      <c r="N72" s="4"/>
      <c r="O72" s="4"/>
      <c r="P72" s="4"/>
      <c r="Q72" s="4"/>
      <c r="R72" s="4"/>
      <c r="S72" s="4"/>
      <c r="T72" s="4"/>
      <c r="U72" s="4"/>
      <c r="V72" s="4"/>
      <c r="W72" s="4"/>
      <c r="X72" s="4"/>
      <c r="Y72" s="4"/>
      <c r="Z72" s="4"/>
    </row>
    <row r="73" ht="15.75" customHeight="1">
      <c r="A73" s="17"/>
      <c r="B73" s="17"/>
      <c r="C73" s="17"/>
      <c r="D73" s="17"/>
      <c r="E73" s="17"/>
      <c r="F73" s="4"/>
      <c r="G73" s="4"/>
      <c r="H73" s="4"/>
      <c r="I73" s="4"/>
      <c r="J73" s="4"/>
      <c r="K73" s="4"/>
      <c r="L73" s="4"/>
      <c r="M73" s="4"/>
      <c r="N73" s="4"/>
      <c r="O73" s="4"/>
      <c r="P73" s="4"/>
      <c r="Q73" s="4"/>
      <c r="R73" s="4"/>
      <c r="S73" s="4"/>
      <c r="T73" s="4"/>
      <c r="U73" s="4"/>
      <c r="V73" s="4"/>
      <c r="W73" s="4"/>
      <c r="X73" s="4"/>
      <c r="Y73" s="4"/>
      <c r="Z73" s="4"/>
    </row>
    <row r="74" ht="15.75" customHeight="1">
      <c r="A74" s="17"/>
      <c r="B74" s="17"/>
      <c r="C74" s="17"/>
      <c r="D74" s="17"/>
      <c r="E74" s="17"/>
      <c r="F74" s="4"/>
      <c r="G74" s="4"/>
      <c r="H74" s="4"/>
      <c r="I74" s="4"/>
      <c r="J74" s="4"/>
      <c r="K74" s="4"/>
      <c r="L74" s="4"/>
      <c r="M74" s="4"/>
      <c r="N74" s="4"/>
      <c r="O74" s="4"/>
      <c r="P74" s="4"/>
      <c r="Q74" s="4"/>
      <c r="R74" s="4"/>
      <c r="S74" s="4"/>
      <c r="T74" s="4"/>
      <c r="U74" s="4"/>
      <c r="V74" s="4"/>
      <c r="W74" s="4"/>
      <c r="X74" s="4"/>
      <c r="Y74" s="4"/>
      <c r="Z74" s="4"/>
    </row>
    <row r="75" ht="15.75" customHeight="1">
      <c r="A75" s="17"/>
      <c r="B75" s="17"/>
      <c r="C75" s="17"/>
      <c r="D75" s="17"/>
      <c r="E75" s="17"/>
      <c r="F75" s="4"/>
      <c r="G75" s="4"/>
      <c r="H75" s="4"/>
      <c r="I75" s="4"/>
      <c r="J75" s="4"/>
      <c r="K75" s="4"/>
      <c r="L75" s="4"/>
      <c r="M75" s="4"/>
      <c r="N75" s="4"/>
      <c r="O75" s="4"/>
      <c r="P75" s="4"/>
      <c r="Q75" s="4"/>
      <c r="R75" s="4"/>
      <c r="S75" s="4"/>
      <c r="T75" s="4"/>
      <c r="U75" s="4"/>
      <c r="V75" s="4"/>
      <c r="W75" s="4"/>
      <c r="X75" s="4"/>
      <c r="Y75" s="4"/>
      <c r="Z75" s="4"/>
    </row>
    <row r="76" ht="15.75" customHeight="1">
      <c r="A76" s="17"/>
      <c r="B76" s="17"/>
      <c r="C76" s="17"/>
      <c r="D76" s="17"/>
      <c r="E76" s="17"/>
      <c r="F76" s="4"/>
      <c r="G76" s="4"/>
      <c r="H76" s="4"/>
      <c r="I76" s="4"/>
      <c r="J76" s="4"/>
      <c r="K76" s="4"/>
      <c r="L76" s="4"/>
      <c r="M76" s="4"/>
      <c r="N76" s="4"/>
      <c r="O76" s="4"/>
      <c r="P76" s="4"/>
      <c r="Q76" s="4"/>
      <c r="R76" s="4"/>
      <c r="S76" s="4"/>
      <c r="T76" s="4"/>
      <c r="U76" s="4"/>
      <c r="V76" s="4"/>
      <c r="W76" s="4"/>
      <c r="X76" s="4"/>
      <c r="Y76" s="4"/>
      <c r="Z76" s="4"/>
    </row>
    <row r="77" ht="15.75" customHeight="1">
      <c r="A77" s="17"/>
      <c r="B77" s="17"/>
      <c r="C77" s="17"/>
      <c r="D77" s="17"/>
      <c r="E77" s="17"/>
      <c r="F77" s="4"/>
      <c r="G77" s="4"/>
      <c r="H77" s="4"/>
      <c r="I77" s="4"/>
      <c r="J77" s="4"/>
      <c r="K77" s="4"/>
      <c r="L77" s="4"/>
      <c r="M77" s="4"/>
      <c r="N77" s="4"/>
      <c r="O77" s="4"/>
      <c r="P77" s="4"/>
      <c r="Q77" s="4"/>
      <c r="R77" s="4"/>
      <c r="S77" s="4"/>
      <c r="T77" s="4"/>
      <c r="U77" s="4"/>
      <c r="V77" s="4"/>
      <c r="W77" s="4"/>
      <c r="X77" s="4"/>
      <c r="Y77" s="4"/>
      <c r="Z77" s="4"/>
    </row>
    <row r="78" ht="15.75" customHeight="1">
      <c r="A78" s="17"/>
      <c r="B78" s="17"/>
      <c r="C78" s="17"/>
      <c r="D78" s="17"/>
      <c r="E78" s="17"/>
      <c r="F78" s="4"/>
      <c r="G78" s="4"/>
      <c r="H78" s="4"/>
      <c r="I78" s="4"/>
      <c r="J78" s="4"/>
      <c r="K78" s="4"/>
      <c r="L78" s="4"/>
      <c r="M78" s="4"/>
      <c r="N78" s="4"/>
      <c r="O78" s="4"/>
      <c r="P78" s="4"/>
      <c r="Q78" s="4"/>
      <c r="R78" s="4"/>
      <c r="S78" s="4"/>
      <c r="T78" s="4"/>
      <c r="U78" s="4"/>
      <c r="V78" s="4"/>
      <c r="W78" s="4"/>
      <c r="X78" s="4"/>
      <c r="Y78" s="4"/>
      <c r="Z78" s="4"/>
    </row>
    <row r="79" ht="15.75" customHeight="1">
      <c r="A79" s="17"/>
      <c r="B79" s="17"/>
      <c r="C79" s="17"/>
      <c r="D79" s="17"/>
      <c r="E79" s="17"/>
      <c r="F79" s="4"/>
      <c r="G79" s="4"/>
      <c r="H79" s="4"/>
      <c r="I79" s="4"/>
      <c r="J79" s="4"/>
      <c r="K79" s="4"/>
      <c r="L79" s="4"/>
      <c r="M79" s="4"/>
      <c r="N79" s="4"/>
      <c r="O79" s="4"/>
      <c r="P79" s="4"/>
      <c r="Q79" s="4"/>
      <c r="R79" s="4"/>
      <c r="S79" s="4"/>
      <c r="T79" s="4"/>
      <c r="U79" s="4"/>
      <c r="V79" s="4"/>
      <c r="W79" s="4"/>
      <c r="X79" s="4"/>
      <c r="Y79" s="4"/>
      <c r="Z79" s="4"/>
    </row>
    <row r="80" ht="15.75" customHeight="1">
      <c r="A80" s="17"/>
      <c r="B80" s="17"/>
      <c r="C80" s="17"/>
      <c r="D80" s="17"/>
      <c r="E80" s="17"/>
      <c r="F80" s="4"/>
      <c r="G80" s="4"/>
      <c r="H80" s="4"/>
      <c r="I80" s="4"/>
      <c r="J80" s="4"/>
      <c r="K80" s="4"/>
      <c r="L80" s="4"/>
      <c r="M80" s="4"/>
      <c r="N80" s="4"/>
      <c r="O80" s="4"/>
      <c r="P80" s="4"/>
      <c r="Q80" s="4"/>
      <c r="R80" s="4"/>
      <c r="S80" s="4"/>
      <c r="T80" s="4"/>
      <c r="U80" s="4"/>
      <c r="V80" s="4"/>
      <c r="W80" s="4"/>
      <c r="X80" s="4"/>
      <c r="Y80" s="4"/>
      <c r="Z80" s="4"/>
    </row>
    <row r="81" ht="15.75" customHeight="1">
      <c r="A81" s="17"/>
      <c r="B81" s="17"/>
      <c r="C81" s="17"/>
      <c r="D81" s="17"/>
      <c r="E81" s="17"/>
      <c r="F81" s="4"/>
      <c r="G81" s="4"/>
      <c r="H81" s="4"/>
      <c r="I81" s="4"/>
      <c r="J81" s="4"/>
      <c r="K81" s="4"/>
      <c r="L81" s="4"/>
      <c r="M81" s="4"/>
      <c r="N81" s="4"/>
      <c r="O81" s="4"/>
      <c r="P81" s="4"/>
      <c r="Q81" s="4"/>
      <c r="R81" s="4"/>
      <c r="S81" s="4"/>
      <c r="T81" s="4"/>
      <c r="U81" s="4"/>
      <c r="V81" s="4"/>
      <c r="W81" s="4"/>
      <c r="X81" s="4"/>
      <c r="Y81" s="4"/>
      <c r="Z81" s="4"/>
    </row>
    <row r="82" ht="15.75" customHeight="1">
      <c r="A82" s="17"/>
      <c r="B82" s="17"/>
      <c r="C82" s="17"/>
      <c r="D82" s="17"/>
      <c r="E82" s="17"/>
      <c r="F82" s="4"/>
      <c r="G82" s="4"/>
      <c r="H82" s="4"/>
      <c r="I82" s="4"/>
      <c r="J82" s="4"/>
      <c r="K82" s="4"/>
      <c r="L82" s="4"/>
      <c r="M82" s="4"/>
      <c r="N82" s="4"/>
      <c r="O82" s="4"/>
      <c r="P82" s="4"/>
      <c r="Q82" s="4"/>
      <c r="R82" s="4"/>
      <c r="S82" s="4"/>
      <c r="T82" s="4"/>
      <c r="U82" s="4"/>
      <c r="V82" s="4"/>
      <c r="W82" s="4"/>
      <c r="X82" s="4"/>
      <c r="Y82" s="4"/>
      <c r="Z82" s="4"/>
    </row>
    <row r="83" ht="15.75" customHeight="1">
      <c r="A83" s="17"/>
      <c r="B83" s="17"/>
      <c r="C83" s="17"/>
      <c r="D83" s="17"/>
      <c r="E83" s="17"/>
      <c r="F83" s="4"/>
      <c r="G83" s="4"/>
      <c r="H83" s="4"/>
      <c r="I83" s="4"/>
      <c r="J83" s="4"/>
      <c r="K83" s="4"/>
      <c r="L83" s="4"/>
      <c r="M83" s="4"/>
      <c r="N83" s="4"/>
      <c r="O83" s="4"/>
      <c r="P83" s="4"/>
      <c r="Q83" s="4"/>
      <c r="R83" s="4"/>
      <c r="S83" s="4"/>
      <c r="T83" s="4"/>
      <c r="U83" s="4"/>
      <c r="V83" s="4"/>
      <c r="W83" s="4"/>
      <c r="X83" s="4"/>
      <c r="Y83" s="4"/>
      <c r="Z83" s="4"/>
    </row>
    <row r="84" ht="15.75" customHeight="1">
      <c r="A84" s="17"/>
      <c r="B84" s="17"/>
      <c r="C84" s="17"/>
      <c r="D84" s="17"/>
      <c r="E84" s="17"/>
      <c r="F84" s="4"/>
      <c r="G84" s="4"/>
      <c r="H84" s="4"/>
      <c r="I84" s="4"/>
      <c r="J84" s="4"/>
      <c r="K84" s="4"/>
      <c r="L84" s="4"/>
      <c r="M84" s="4"/>
      <c r="N84" s="4"/>
      <c r="O84" s="4"/>
      <c r="P84" s="4"/>
      <c r="Q84" s="4"/>
      <c r="R84" s="4"/>
      <c r="S84" s="4"/>
      <c r="T84" s="4"/>
      <c r="U84" s="4"/>
      <c r="V84" s="4"/>
      <c r="W84" s="4"/>
      <c r="X84" s="4"/>
      <c r="Y84" s="4"/>
      <c r="Z84" s="4"/>
    </row>
    <row r="85" ht="15.75" customHeight="1">
      <c r="A85" s="17"/>
      <c r="B85" s="17"/>
      <c r="C85" s="17"/>
      <c r="D85" s="17"/>
      <c r="E85" s="17"/>
      <c r="F85" s="4"/>
      <c r="G85" s="4"/>
      <c r="H85" s="4"/>
      <c r="I85" s="4"/>
      <c r="J85" s="4"/>
      <c r="K85" s="4"/>
      <c r="L85" s="4"/>
      <c r="M85" s="4"/>
      <c r="N85" s="4"/>
      <c r="O85" s="4"/>
      <c r="P85" s="4"/>
      <c r="Q85" s="4"/>
      <c r="R85" s="4"/>
      <c r="S85" s="4"/>
      <c r="T85" s="4"/>
      <c r="U85" s="4"/>
      <c r="V85" s="4"/>
      <c r="W85" s="4"/>
      <c r="X85" s="4"/>
      <c r="Y85" s="4"/>
      <c r="Z85" s="4"/>
    </row>
    <row r="86" ht="15.75" customHeight="1">
      <c r="A86" s="17"/>
      <c r="B86" s="17"/>
      <c r="C86" s="17"/>
      <c r="D86" s="17"/>
      <c r="E86" s="17"/>
      <c r="F86" s="4"/>
      <c r="G86" s="4"/>
      <c r="H86" s="4"/>
      <c r="I86" s="4"/>
      <c r="J86" s="4"/>
      <c r="K86" s="4"/>
      <c r="L86" s="4"/>
      <c r="M86" s="4"/>
      <c r="N86" s="4"/>
      <c r="O86" s="4"/>
      <c r="P86" s="4"/>
      <c r="Q86" s="4"/>
      <c r="R86" s="4"/>
      <c r="S86" s="4"/>
      <c r="T86" s="4"/>
      <c r="U86" s="4"/>
      <c r="V86" s="4"/>
      <c r="W86" s="4"/>
      <c r="X86" s="4"/>
      <c r="Y86" s="4"/>
      <c r="Z86" s="4"/>
    </row>
    <row r="87" ht="15.75" customHeight="1">
      <c r="A87" s="17"/>
      <c r="B87" s="17"/>
      <c r="C87" s="17"/>
      <c r="D87" s="17"/>
      <c r="E87" s="17"/>
      <c r="F87" s="4"/>
      <c r="G87" s="4"/>
      <c r="H87" s="4"/>
      <c r="I87" s="4"/>
      <c r="J87" s="4"/>
      <c r="K87" s="4"/>
      <c r="L87" s="4"/>
      <c r="M87" s="4"/>
      <c r="N87" s="4"/>
      <c r="O87" s="4"/>
      <c r="P87" s="4"/>
      <c r="Q87" s="4"/>
      <c r="R87" s="4"/>
      <c r="S87" s="4"/>
      <c r="T87" s="4"/>
      <c r="U87" s="4"/>
      <c r="V87" s="4"/>
      <c r="W87" s="4"/>
      <c r="X87" s="4"/>
      <c r="Y87" s="4"/>
      <c r="Z87" s="4"/>
    </row>
    <row r="88" ht="15.75" customHeight="1">
      <c r="A88" s="17"/>
      <c r="B88" s="17"/>
      <c r="C88" s="17"/>
      <c r="D88" s="17"/>
      <c r="E88" s="17"/>
      <c r="F88" s="4"/>
      <c r="G88" s="4"/>
      <c r="H88" s="4"/>
      <c r="I88" s="4"/>
      <c r="J88" s="4"/>
      <c r="K88" s="4"/>
      <c r="L88" s="4"/>
      <c r="M88" s="4"/>
      <c r="N88" s="4"/>
      <c r="O88" s="4"/>
      <c r="P88" s="4"/>
      <c r="Q88" s="4"/>
      <c r="R88" s="4"/>
      <c r="S88" s="4"/>
      <c r="T88" s="4"/>
      <c r="U88" s="4"/>
      <c r="V88" s="4"/>
      <c r="W88" s="4"/>
      <c r="X88" s="4"/>
      <c r="Y88" s="4"/>
      <c r="Z88" s="4"/>
    </row>
    <row r="89" ht="15.75" customHeight="1">
      <c r="A89" s="17"/>
      <c r="B89" s="17"/>
      <c r="C89" s="17"/>
      <c r="D89" s="17"/>
      <c r="E89" s="17"/>
      <c r="F89" s="4"/>
      <c r="G89" s="4"/>
      <c r="H89" s="4"/>
      <c r="I89" s="4"/>
      <c r="J89" s="4"/>
      <c r="K89" s="4"/>
      <c r="L89" s="4"/>
      <c r="M89" s="4"/>
      <c r="N89" s="4"/>
      <c r="O89" s="4"/>
      <c r="P89" s="4"/>
      <c r="Q89" s="4"/>
      <c r="R89" s="4"/>
      <c r="S89" s="4"/>
      <c r="T89" s="4"/>
      <c r="U89" s="4"/>
      <c r="V89" s="4"/>
      <c r="W89" s="4"/>
      <c r="X89" s="4"/>
      <c r="Y89" s="4"/>
      <c r="Z89" s="4"/>
    </row>
    <row r="90" ht="15.75" customHeight="1">
      <c r="A90" s="17"/>
      <c r="B90" s="17"/>
      <c r="C90" s="17"/>
      <c r="D90" s="17"/>
      <c r="E90" s="17"/>
      <c r="F90" s="4"/>
      <c r="G90" s="4"/>
      <c r="H90" s="4"/>
      <c r="I90" s="4"/>
      <c r="J90" s="4"/>
      <c r="K90" s="4"/>
      <c r="L90" s="4"/>
      <c r="M90" s="4"/>
      <c r="N90" s="4"/>
      <c r="O90" s="4"/>
      <c r="P90" s="4"/>
      <c r="Q90" s="4"/>
      <c r="R90" s="4"/>
      <c r="S90" s="4"/>
      <c r="T90" s="4"/>
      <c r="U90" s="4"/>
      <c r="V90" s="4"/>
      <c r="W90" s="4"/>
      <c r="X90" s="4"/>
      <c r="Y90" s="4"/>
      <c r="Z90" s="4"/>
    </row>
    <row r="91" ht="15.75" customHeight="1">
      <c r="A91" s="17"/>
      <c r="B91" s="17"/>
      <c r="C91" s="17"/>
      <c r="D91" s="17"/>
      <c r="E91" s="17"/>
      <c r="F91" s="4"/>
      <c r="G91" s="4"/>
      <c r="H91" s="4"/>
      <c r="I91" s="4"/>
      <c r="J91" s="4"/>
      <c r="K91" s="4"/>
      <c r="L91" s="4"/>
      <c r="M91" s="4"/>
      <c r="N91" s="4"/>
      <c r="O91" s="4"/>
      <c r="P91" s="4"/>
      <c r="Q91" s="4"/>
      <c r="R91" s="4"/>
      <c r="S91" s="4"/>
      <c r="T91" s="4"/>
      <c r="U91" s="4"/>
      <c r="V91" s="4"/>
      <c r="W91" s="4"/>
      <c r="X91" s="4"/>
      <c r="Y91" s="4"/>
      <c r="Z91" s="4"/>
    </row>
    <row r="92" ht="15.75" customHeight="1">
      <c r="A92" s="17"/>
      <c r="B92" s="17"/>
      <c r="C92" s="17"/>
      <c r="D92" s="17"/>
      <c r="E92" s="17"/>
      <c r="F92" s="4"/>
      <c r="G92" s="4"/>
      <c r="H92" s="4"/>
      <c r="I92" s="4"/>
      <c r="J92" s="4"/>
      <c r="K92" s="4"/>
      <c r="L92" s="4"/>
      <c r="M92" s="4"/>
      <c r="N92" s="4"/>
      <c r="O92" s="4"/>
      <c r="P92" s="4"/>
      <c r="Q92" s="4"/>
      <c r="R92" s="4"/>
      <c r="S92" s="4"/>
      <c r="T92" s="4"/>
      <c r="U92" s="4"/>
      <c r="V92" s="4"/>
      <c r="W92" s="4"/>
      <c r="X92" s="4"/>
      <c r="Y92" s="4"/>
      <c r="Z92" s="4"/>
    </row>
    <row r="93" ht="15.75" customHeight="1">
      <c r="A93" s="17"/>
      <c r="B93" s="17"/>
      <c r="C93" s="17"/>
      <c r="D93" s="17"/>
      <c r="E93" s="17"/>
      <c r="F93" s="4"/>
      <c r="G93" s="4"/>
      <c r="H93" s="4"/>
      <c r="I93" s="4"/>
      <c r="J93" s="4"/>
      <c r="K93" s="4"/>
      <c r="L93" s="4"/>
      <c r="M93" s="4"/>
      <c r="N93" s="4"/>
      <c r="O93" s="4"/>
      <c r="P93" s="4"/>
      <c r="Q93" s="4"/>
      <c r="R93" s="4"/>
      <c r="S93" s="4"/>
      <c r="T93" s="4"/>
      <c r="U93" s="4"/>
      <c r="V93" s="4"/>
      <c r="W93" s="4"/>
      <c r="X93" s="4"/>
      <c r="Y93" s="4"/>
      <c r="Z93" s="4"/>
    </row>
    <row r="94" ht="15.75" customHeight="1">
      <c r="A94" s="17"/>
      <c r="B94" s="17"/>
      <c r="C94" s="17"/>
      <c r="D94" s="17"/>
      <c r="E94" s="17"/>
      <c r="F94" s="4"/>
      <c r="G94" s="4"/>
      <c r="H94" s="4"/>
      <c r="I94" s="4"/>
      <c r="J94" s="4"/>
      <c r="K94" s="4"/>
      <c r="L94" s="4"/>
      <c r="M94" s="4"/>
      <c r="N94" s="4"/>
      <c r="O94" s="4"/>
      <c r="P94" s="4"/>
      <c r="Q94" s="4"/>
      <c r="R94" s="4"/>
      <c r="S94" s="4"/>
      <c r="T94" s="4"/>
      <c r="U94" s="4"/>
      <c r="V94" s="4"/>
      <c r="W94" s="4"/>
      <c r="X94" s="4"/>
      <c r="Y94" s="4"/>
      <c r="Z94" s="4"/>
    </row>
    <row r="95" ht="15.75" customHeight="1">
      <c r="A95" s="17"/>
      <c r="B95" s="17"/>
      <c r="C95" s="17"/>
      <c r="D95" s="17"/>
      <c r="E95" s="17"/>
      <c r="F95" s="4"/>
      <c r="G95" s="4"/>
      <c r="H95" s="4"/>
      <c r="I95" s="4"/>
      <c r="J95" s="4"/>
      <c r="K95" s="4"/>
      <c r="L95" s="4"/>
      <c r="M95" s="4"/>
      <c r="N95" s="4"/>
      <c r="O95" s="4"/>
      <c r="P95" s="4"/>
      <c r="Q95" s="4"/>
      <c r="R95" s="4"/>
      <c r="S95" s="4"/>
      <c r="T95" s="4"/>
      <c r="U95" s="4"/>
      <c r="V95" s="4"/>
      <c r="W95" s="4"/>
      <c r="X95" s="4"/>
      <c r="Y95" s="4"/>
      <c r="Z95" s="4"/>
    </row>
    <row r="96" ht="15.75" customHeight="1">
      <c r="A96" s="17"/>
      <c r="B96" s="17"/>
      <c r="C96" s="17"/>
      <c r="D96" s="17"/>
      <c r="E96" s="17"/>
      <c r="F96" s="4"/>
      <c r="G96" s="4"/>
      <c r="H96" s="4"/>
      <c r="I96" s="4"/>
      <c r="J96" s="4"/>
      <c r="K96" s="4"/>
      <c r="L96" s="4"/>
      <c r="M96" s="4"/>
      <c r="N96" s="4"/>
      <c r="O96" s="4"/>
      <c r="P96" s="4"/>
      <c r="Q96" s="4"/>
      <c r="R96" s="4"/>
      <c r="S96" s="4"/>
      <c r="T96" s="4"/>
      <c r="U96" s="4"/>
      <c r="V96" s="4"/>
      <c r="W96" s="4"/>
      <c r="X96" s="4"/>
      <c r="Y96" s="4"/>
      <c r="Z96" s="4"/>
    </row>
    <row r="97" ht="15.75" customHeight="1">
      <c r="A97" s="17"/>
      <c r="B97" s="17"/>
      <c r="C97" s="17"/>
      <c r="D97" s="17"/>
      <c r="E97" s="17"/>
      <c r="F97" s="4"/>
      <c r="G97" s="4"/>
      <c r="H97" s="4"/>
      <c r="I97" s="4"/>
      <c r="J97" s="4"/>
      <c r="K97" s="4"/>
      <c r="L97" s="4"/>
      <c r="M97" s="4"/>
      <c r="N97" s="4"/>
      <c r="O97" s="4"/>
      <c r="P97" s="4"/>
      <c r="Q97" s="4"/>
      <c r="R97" s="4"/>
      <c r="S97" s="4"/>
      <c r="T97" s="4"/>
      <c r="U97" s="4"/>
      <c r="V97" s="4"/>
      <c r="W97" s="4"/>
      <c r="X97" s="4"/>
      <c r="Y97" s="4"/>
      <c r="Z97" s="4"/>
    </row>
    <row r="98" ht="15.75" customHeight="1">
      <c r="A98" s="17"/>
      <c r="B98" s="17"/>
      <c r="C98" s="17"/>
      <c r="D98" s="17"/>
      <c r="E98" s="17"/>
      <c r="F98" s="4"/>
      <c r="G98" s="4"/>
      <c r="H98" s="4"/>
      <c r="I98" s="4"/>
      <c r="J98" s="4"/>
      <c r="K98" s="4"/>
      <c r="L98" s="4"/>
      <c r="M98" s="4"/>
      <c r="N98" s="4"/>
      <c r="O98" s="4"/>
      <c r="P98" s="4"/>
      <c r="Q98" s="4"/>
      <c r="R98" s="4"/>
      <c r="S98" s="4"/>
      <c r="T98" s="4"/>
      <c r="U98" s="4"/>
      <c r="V98" s="4"/>
      <c r="W98" s="4"/>
      <c r="X98" s="4"/>
      <c r="Y98" s="4"/>
      <c r="Z98" s="4"/>
    </row>
    <row r="99" ht="15.75" customHeight="1">
      <c r="A99" s="17"/>
      <c r="B99" s="17"/>
      <c r="C99" s="17"/>
      <c r="D99" s="17"/>
      <c r="E99" s="17"/>
      <c r="F99" s="4"/>
      <c r="G99" s="4"/>
      <c r="H99" s="4"/>
      <c r="I99" s="4"/>
      <c r="J99" s="4"/>
      <c r="K99" s="4"/>
      <c r="L99" s="4"/>
      <c r="M99" s="4"/>
      <c r="N99" s="4"/>
      <c r="O99" s="4"/>
      <c r="P99" s="4"/>
      <c r="Q99" s="4"/>
      <c r="R99" s="4"/>
      <c r="S99" s="4"/>
      <c r="T99" s="4"/>
      <c r="U99" s="4"/>
      <c r="V99" s="4"/>
      <c r="W99" s="4"/>
      <c r="X99" s="4"/>
      <c r="Y99" s="4"/>
      <c r="Z99" s="4"/>
    </row>
    <row r="100" ht="15.75" customHeight="1">
      <c r="A100" s="17"/>
      <c r="B100" s="17"/>
      <c r="C100" s="17"/>
      <c r="D100" s="17"/>
      <c r="E100" s="17"/>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7"/>
      <c r="D101" s="17"/>
      <c r="E101" s="17"/>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7"/>
      <c r="D102" s="17"/>
      <c r="E102" s="17"/>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7"/>
      <c r="D103" s="17"/>
      <c r="E103" s="17"/>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7"/>
      <c r="D104" s="17"/>
      <c r="E104" s="17"/>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7"/>
      <c r="D105" s="17"/>
      <c r="E105" s="17"/>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7"/>
      <c r="D106" s="17"/>
      <c r="E106" s="17"/>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7"/>
      <c r="D107" s="17"/>
      <c r="E107" s="17"/>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7"/>
      <c r="D108" s="17"/>
      <c r="E108" s="17"/>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7"/>
      <c r="D109" s="17"/>
      <c r="E109" s="17"/>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7"/>
      <c r="D110" s="17"/>
      <c r="E110" s="17"/>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7"/>
      <c r="D111" s="17"/>
      <c r="E111" s="17"/>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7"/>
      <c r="D112" s="17"/>
      <c r="E112" s="17"/>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7"/>
      <c r="D113" s="17"/>
      <c r="E113" s="17"/>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7"/>
      <c r="D114" s="17"/>
      <c r="E114" s="17"/>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7"/>
      <c r="D115" s="17"/>
      <c r="E115" s="17"/>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7"/>
      <c r="D116" s="17"/>
      <c r="E116" s="17"/>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7"/>
      <c r="D117" s="17"/>
      <c r="E117" s="17"/>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7"/>
      <c r="D118" s="17"/>
      <c r="E118" s="17"/>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7"/>
      <c r="D119" s="17"/>
      <c r="E119" s="17"/>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7"/>
      <c r="D120" s="17"/>
      <c r="E120" s="17"/>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7"/>
      <c r="D121" s="17"/>
      <c r="E121" s="17"/>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7"/>
      <c r="D122" s="17"/>
      <c r="E122" s="17"/>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7"/>
      <c r="D123" s="17"/>
      <c r="E123" s="17"/>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7"/>
      <c r="D124" s="17"/>
      <c r="E124" s="17"/>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7"/>
      <c r="D125" s="17"/>
      <c r="E125" s="17"/>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7"/>
      <c r="D126" s="17"/>
      <c r="E126" s="17"/>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7"/>
      <c r="D127" s="17"/>
      <c r="E127" s="17"/>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7"/>
      <c r="D128" s="17"/>
      <c r="E128" s="17"/>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7"/>
      <c r="D129" s="17"/>
      <c r="E129" s="17"/>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7"/>
      <c r="D130" s="17"/>
      <c r="E130" s="17"/>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7"/>
      <c r="D131" s="17"/>
      <c r="E131" s="17"/>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7"/>
      <c r="D132" s="17"/>
      <c r="E132" s="17"/>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7"/>
      <c r="D133" s="17"/>
      <c r="E133" s="17"/>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7"/>
      <c r="D134" s="17"/>
      <c r="E134" s="17"/>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7"/>
      <c r="D135" s="17"/>
      <c r="E135" s="17"/>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7"/>
      <c r="D136" s="17"/>
      <c r="E136" s="17"/>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7"/>
      <c r="D137" s="17"/>
      <c r="E137" s="17"/>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7"/>
      <c r="D138" s="17"/>
      <c r="E138" s="17"/>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7"/>
      <c r="D139" s="17"/>
      <c r="E139" s="17"/>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7"/>
      <c r="D140" s="17"/>
      <c r="E140" s="17"/>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7"/>
      <c r="D141" s="17"/>
      <c r="E141" s="17"/>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7"/>
      <c r="D142" s="17"/>
      <c r="E142" s="17"/>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7"/>
      <c r="D143" s="17"/>
      <c r="E143" s="17"/>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7"/>
      <c r="D144" s="17"/>
      <c r="E144" s="17"/>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7"/>
      <c r="D145" s="17"/>
      <c r="E145" s="17"/>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7"/>
      <c r="D146" s="17"/>
      <c r="E146" s="17"/>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7"/>
      <c r="D147" s="17"/>
      <c r="E147" s="17"/>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7"/>
      <c r="D148" s="17"/>
      <c r="E148" s="17"/>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7"/>
      <c r="D149" s="17"/>
      <c r="E149" s="17"/>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7"/>
      <c r="D150" s="17"/>
      <c r="E150" s="17"/>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7"/>
      <c r="D151" s="17"/>
      <c r="E151" s="17"/>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7"/>
      <c r="D152" s="17"/>
      <c r="E152" s="17"/>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7"/>
      <c r="D153" s="17"/>
      <c r="E153" s="17"/>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7"/>
      <c r="D154" s="17"/>
      <c r="E154" s="17"/>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7"/>
      <c r="D155" s="17"/>
      <c r="E155" s="17"/>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7"/>
      <c r="D156" s="17"/>
      <c r="E156" s="17"/>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7"/>
      <c r="D157" s="17"/>
      <c r="E157" s="17"/>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7"/>
      <c r="D158" s="17"/>
      <c r="E158" s="17"/>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7"/>
      <c r="D159" s="17"/>
      <c r="E159" s="17"/>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7"/>
      <c r="D160" s="17"/>
      <c r="E160" s="17"/>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7"/>
      <c r="D161" s="17"/>
      <c r="E161" s="17"/>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7"/>
      <c r="D162" s="17"/>
      <c r="E162" s="17"/>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7"/>
      <c r="D163" s="17"/>
      <c r="E163" s="17"/>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7"/>
      <c r="D164" s="17"/>
      <c r="E164" s="17"/>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7"/>
      <c r="D165" s="17"/>
      <c r="E165" s="17"/>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7"/>
      <c r="D166" s="17"/>
      <c r="E166" s="17"/>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7"/>
      <c r="D167" s="17"/>
      <c r="E167" s="17"/>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7"/>
      <c r="D168" s="17"/>
      <c r="E168" s="17"/>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7"/>
      <c r="D169" s="17"/>
      <c r="E169" s="17"/>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7"/>
      <c r="D170" s="17"/>
      <c r="E170" s="17"/>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7"/>
      <c r="D171" s="17"/>
      <c r="E171" s="17"/>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7"/>
      <c r="D172" s="17"/>
      <c r="E172" s="17"/>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7"/>
      <c r="D173" s="17"/>
      <c r="E173" s="17"/>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7"/>
      <c r="D174" s="17"/>
      <c r="E174" s="17"/>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7"/>
      <c r="D175" s="17"/>
      <c r="E175" s="17"/>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7"/>
      <c r="D176" s="17"/>
      <c r="E176" s="17"/>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7"/>
      <c r="D177" s="17"/>
      <c r="E177" s="17"/>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7"/>
      <c r="D178" s="17"/>
      <c r="E178" s="17"/>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7"/>
      <c r="D179" s="17"/>
      <c r="E179" s="17"/>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7"/>
      <c r="D180" s="17"/>
      <c r="E180" s="17"/>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7"/>
      <c r="D181" s="17"/>
      <c r="E181" s="17"/>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7"/>
      <c r="D182" s="17"/>
      <c r="E182" s="17"/>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7"/>
      <c r="D183" s="17"/>
      <c r="E183" s="17"/>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7"/>
      <c r="D184" s="17"/>
      <c r="E184" s="17"/>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7"/>
      <c r="D185" s="17"/>
      <c r="E185" s="17"/>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7"/>
      <c r="D186" s="17"/>
      <c r="E186" s="17"/>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7"/>
      <c r="D187" s="17"/>
      <c r="E187" s="17"/>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7"/>
      <c r="D188" s="17"/>
      <c r="E188" s="17"/>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7"/>
      <c r="D189" s="17"/>
      <c r="E189" s="17"/>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7"/>
      <c r="D190" s="17"/>
      <c r="E190" s="17"/>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7"/>
      <c r="D191" s="17"/>
      <c r="E191" s="17"/>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7"/>
      <c r="D192" s="17"/>
      <c r="E192" s="17"/>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7"/>
      <c r="D193" s="17"/>
      <c r="E193" s="17"/>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7"/>
      <c r="D194" s="17"/>
      <c r="E194" s="17"/>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7"/>
      <c r="D195" s="17"/>
      <c r="E195" s="17"/>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7"/>
      <c r="D196" s="17"/>
      <c r="E196" s="17"/>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7"/>
      <c r="D197" s="17"/>
      <c r="E197" s="17"/>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7"/>
      <c r="D198" s="17"/>
      <c r="E198" s="17"/>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7"/>
      <c r="D199" s="17"/>
      <c r="E199" s="17"/>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7"/>
      <c r="D200" s="17"/>
      <c r="E200" s="17"/>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7"/>
      <c r="D201" s="17"/>
      <c r="E201" s="17"/>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7"/>
      <c r="D202" s="17"/>
      <c r="E202" s="17"/>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7"/>
      <c r="D203" s="17"/>
      <c r="E203" s="17"/>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7"/>
      <c r="D204" s="17"/>
      <c r="E204" s="17"/>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7"/>
      <c r="D205" s="17"/>
      <c r="E205" s="17"/>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7"/>
      <c r="D206" s="17"/>
      <c r="E206" s="17"/>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7"/>
      <c r="D207" s="17"/>
      <c r="E207" s="17"/>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7"/>
      <c r="D208" s="17"/>
      <c r="E208" s="17"/>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7"/>
      <c r="D209" s="17"/>
      <c r="E209" s="17"/>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7"/>
      <c r="D210" s="17"/>
      <c r="E210" s="17"/>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7"/>
      <c r="D211" s="17"/>
      <c r="E211" s="17"/>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7"/>
      <c r="D212" s="17"/>
      <c r="E212" s="17"/>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7"/>
      <c r="D213" s="17"/>
      <c r="E213" s="17"/>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7"/>
      <c r="D214" s="17"/>
      <c r="E214" s="17"/>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7"/>
      <c r="D215" s="17"/>
      <c r="E215" s="17"/>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7"/>
      <c r="D216" s="17"/>
      <c r="E216" s="17"/>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7"/>
      <c r="D218" s="17"/>
      <c r="E218" s="17"/>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7"/>
      <c r="D219" s="17"/>
      <c r="E219" s="17"/>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7"/>
      <c r="D220" s="17"/>
      <c r="E220" s="17"/>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7"/>
      <c r="D222" s="17"/>
      <c r="E222" s="17"/>
      <c r="F222" s="4"/>
      <c r="G222" s="4"/>
      <c r="H222" s="4"/>
      <c r="I222" s="4"/>
      <c r="J222" s="4"/>
      <c r="K222" s="4"/>
      <c r="L222" s="4"/>
      <c r="M222" s="4"/>
      <c r="N222" s="4"/>
      <c r="O222" s="4"/>
      <c r="P222" s="4"/>
      <c r="Q222" s="4"/>
      <c r="R222" s="4"/>
      <c r="S222" s="4"/>
      <c r="T222" s="4"/>
      <c r="U222" s="4"/>
      <c r="V222" s="4"/>
      <c r="W222" s="4"/>
      <c r="X222" s="4"/>
      <c r="Y222" s="4"/>
      <c r="Z222" s="4"/>
    </row>
    <row r="223" ht="15.75" customHeight="1">
      <c r="A223" s="17"/>
      <c r="B223" s="17"/>
      <c r="C223" s="17"/>
      <c r="D223" s="17"/>
      <c r="E223" s="17"/>
      <c r="F223" s="4"/>
      <c r="G223" s="4"/>
      <c r="H223" s="4"/>
      <c r="I223" s="4"/>
      <c r="J223" s="4"/>
      <c r="K223" s="4"/>
      <c r="L223" s="4"/>
      <c r="M223" s="4"/>
      <c r="N223" s="4"/>
      <c r="O223" s="4"/>
      <c r="P223" s="4"/>
      <c r="Q223" s="4"/>
      <c r="R223" s="4"/>
      <c r="S223" s="4"/>
      <c r="T223" s="4"/>
      <c r="U223" s="4"/>
      <c r="V223" s="4"/>
      <c r="W223" s="4"/>
      <c r="X223" s="4"/>
      <c r="Y223" s="4"/>
      <c r="Z223" s="4"/>
    </row>
    <row r="224" ht="15.75" customHeight="1">
      <c r="A224" s="17"/>
      <c r="B224" s="17"/>
      <c r="C224" s="17"/>
      <c r="D224" s="17"/>
      <c r="E224" s="17"/>
      <c r="F224" s="4"/>
      <c r="G224" s="4"/>
      <c r="H224" s="4"/>
      <c r="I224" s="4"/>
      <c r="J224" s="4"/>
      <c r="K224" s="4"/>
      <c r="L224" s="4"/>
      <c r="M224" s="4"/>
      <c r="N224" s="4"/>
      <c r="O224" s="4"/>
      <c r="P224" s="4"/>
      <c r="Q224" s="4"/>
      <c r="R224" s="4"/>
      <c r="S224" s="4"/>
      <c r="T224" s="4"/>
      <c r="U224" s="4"/>
      <c r="V224" s="4"/>
      <c r="W224" s="4"/>
      <c r="X224" s="4"/>
      <c r="Y224" s="4"/>
      <c r="Z224" s="4"/>
    </row>
    <row r="225" ht="15.75" customHeight="1">
      <c r="A225" s="17"/>
      <c r="B225" s="17"/>
      <c r="C225" s="17"/>
      <c r="D225" s="17"/>
      <c r="E225" s="17"/>
      <c r="F225" s="4"/>
      <c r="G225" s="4"/>
      <c r="H225" s="4"/>
      <c r="I225" s="4"/>
      <c r="J225" s="4"/>
      <c r="K225" s="4"/>
      <c r="L225" s="4"/>
      <c r="M225" s="4"/>
      <c r="N225" s="4"/>
      <c r="O225" s="4"/>
      <c r="P225" s="4"/>
      <c r="Q225" s="4"/>
      <c r="R225" s="4"/>
      <c r="S225" s="4"/>
      <c r="T225" s="4"/>
      <c r="U225" s="4"/>
      <c r="V225" s="4"/>
      <c r="W225" s="4"/>
      <c r="X225" s="4"/>
      <c r="Y225" s="4"/>
      <c r="Z225" s="4"/>
    </row>
    <row r="226" ht="15.75" customHeight="1">
      <c r="A226" s="17"/>
      <c r="B226" s="17"/>
      <c r="C226" s="17"/>
      <c r="D226" s="17"/>
      <c r="E226" s="17"/>
      <c r="F226" s="4"/>
      <c r="G226" s="4"/>
      <c r="H226" s="4"/>
      <c r="I226" s="4"/>
      <c r="J226" s="4"/>
      <c r="K226" s="4"/>
      <c r="L226" s="4"/>
      <c r="M226" s="4"/>
      <c r="N226" s="4"/>
      <c r="O226" s="4"/>
      <c r="P226" s="4"/>
      <c r="Q226" s="4"/>
      <c r="R226" s="4"/>
      <c r="S226" s="4"/>
      <c r="T226" s="4"/>
      <c r="U226" s="4"/>
      <c r="V226" s="4"/>
      <c r="W226" s="4"/>
      <c r="X226" s="4"/>
      <c r="Y226" s="4"/>
      <c r="Z226" s="4"/>
    </row>
    <row r="227" ht="15.75" customHeight="1">
      <c r="A227" s="17"/>
      <c r="B227" s="17"/>
      <c r="C227" s="17"/>
      <c r="D227" s="17"/>
      <c r="E227" s="17"/>
      <c r="F227" s="4"/>
      <c r="G227" s="4"/>
      <c r="H227" s="4"/>
      <c r="I227" s="4"/>
      <c r="J227" s="4"/>
      <c r="K227" s="4"/>
      <c r="L227" s="4"/>
      <c r="M227" s="4"/>
      <c r="N227" s="4"/>
      <c r="O227" s="4"/>
      <c r="P227" s="4"/>
      <c r="Q227" s="4"/>
      <c r="R227" s="4"/>
      <c r="S227" s="4"/>
      <c r="T227" s="4"/>
      <c r="U227" s="4"/>
      <c r="V227" s="4"/>
      <c r="W227" s="4"/>
      <c r="X227" s="4"/>
      <c r="Y227" s="4"/>
      <c r="Z227" s="4"/>
    </row>
    <row r="228" ht="15.75" customHeight="1">
      <c r="A228" s="17"/>
      <c r="B228" s="17"/>
      <c r="C228" s="17"/>
      <c r="D228" s="17"/>
      <c r="E228" s="17"/>
      <c r="F228" s="4"/>
      <c r="G228" s="4"/>
      <c r="H228" s="4"/>
      <c r="I228" s="4"/>
      <c r="J228" s="4"/>
      <c r="K228" s="4"/>
      <c r="L228" s="4"/>
      <c r="M228" s="4"/>
      <c r="N228" s="4"/>
      <c r="O228" s="4"/>
      <c r="P228" s="4"/>
      <c r="Q228" s="4"/>
      <c r="R228" s="4"/>
      <c r="S228" s="4"/>
      <c r="T228" s="4"/>
      <c r="U228" s="4"/>
      <c r="V228" s="4"/>
      <c r="W228" s="4"/>
      <c r="X228" s="4"/>
      <c r="Y228" s="4"/>
      <c r="Z228" s="4"/>
    </row>
    <row r="229" ht="15.75" customHeight="1">
      <c r="A229" s="17"/>
      <c r="B229" s="17"/>
      <c r="C229" s="17"/>
      <c r="D229" s="17"/>
      <c r="E229" s="17"/>
      <c r="F229" s="4"/>
      <c r="G229" s="4"/>
      <c r="H229" s="4"/>
      <c r="I229" s="4"/>
      <c r="J229" s="4"/>
      <c r="K229" s="4"/>
      <c r="L229" s="4"/>
      <c r="M229" s="4"/>
      <c r="N229" s="4"/>
      <c r="O229" s="4"/>
      <c r="P229" s="4"/>
      <c r="Q229" s="4"/>
      <c r="R229" s="4"/>
      <c r="S229" s="4"/>
      <c r="T229" s="4"/>
      <c r="U229" s="4"/>
      <c r="V229" s="4"/>
      <c r="W229" s="4"/>
      <c r="X229" s="4"/>
      <c r="Y229" s="4"/>
      <c r="Z229" s="4"/>
    </row>
    <row r="230" ht="15.75" customHeight="1">
      <c r="A230" s="17"/>
      <c r="B230" s="17"/>
      <c r="C230" s="17"/>
      <c r="D230" s="17"/>
      <c r="E230" s="17"/>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C1"/>
    <mergeCell ref="A26:C26"/>
    <mergeCell ref="A27:C27"/>
    <mergeCell ref="A28:C28"/>
    <mergeCell ref="A29:C29"/>
    <mergeCell ref="A30:C30"/>
  </mergeCells>
  <printOptions/>
  <pageMargins bottom="0.984027777777778" footer="0.0" header="0.0" left="0.747916666666667" right="0.747916666666667" top="0.984027777777778"/>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4" width="22.0"/>
    <col customWidth="1" min="5" max="5" width="28.0"/>
    <col customWidth="1" min="6" max="26" width="8.71"/>
  </cols>
  <sheetData>
    <row r="1" ht="27.75" customHeight="1">
      <c r="A1" s="34" t="s">
        <v>158</v>
      </c>
      <c r="B1" s="32"/>
      <c r="C1" s="32"/>
      <c r="D1" s="32"/>
      <c r="E1" s="35"/>
    </row>
    <row r="2" ht="18.0" customHeight="1">
      <c r="A2" s="36" t="s">
        <v>159</v>
      </c>
      <c r="B2" s="32"/>
      <c r="C2" s="32"/>
      <c r="D2" s="32"/>
      <c r="E2" s="32"/>
    </row>
    <row r="3">
      <c r="A3" s="4"/>
      <c r="B3" s="4"/>
      <c r="C3" s="4"/>
      <c r="D3" s="4"/>
      <c r="E3" s="4"/>
    </row>
    <row r="4" ht="19.5" customHeight="1">
      <c r="A4" s="37" t="s">
        <v>160</v>
      </c>
      <c r="B4" s="32"/>
      <c r="C4" s="32"/>
      <c r="D4" s="32"/>
      <c r="E4" s="35"/>
    </row>
    <row r="5" ht="18.0" customHeight="1">
      <c r="A5" s="38" t="s">
        <v>4</v>
      </c>
      <c r="B5" s="38" t="s">
        <v>134</v>
      </c>
      <c r="C5" s="38" t="s">
        <v>135</v>
      </c>
      <c r="D5" s="38" t="s">
        <v>6</v>
      </c>
      <c r="E5" s="38" t="s">
        <v>7</v>
      </c>
    </row>
    <row r="6" ht="18.0" customHeight="1">
      <c r="A6" s="39" t="s">
        <v>161</v>
      </c>
      <c r="B6" s="40">
        <f>So_sanh!B4</f>
        <v>2008500000</v>
      </c>
      <c r="C6" s="40">
        <f>So_sanh!C4</f>
        <v>2008500000</v>
      </c>
      <c r="D6" s="41" t="s">
        <v>9</v>
      </c>
      <c r="E6" s="42"/>
    </row>
    <row r="7" ht="18.0" customHeight="1">
      <c r="A7" s="39" t="s">
        <v>162</v>
      </c>
      <c r="B7" s="40">
        <f>So_sanh!B7</f>
        <v>1104675000</v>
      </c>
      <c r="C7" s="40">
        <f>So_sanh!C7</f>
        <v>702975000</v>
      </c>
      <c r="D7" s="41" t="s">
        <v>9</v>
      </c>
      <c r="E7" s="42" t="s">
        <v>163</v>
      </c>
    </row>
    <row r="8" ht="18.0" customHeight="1">
      <c r="A8" s="39" t="s">
        <v>164</v>
      </c>
      <c r="B8" s="40">
        <f>So_sanh!B8</f>
        <v>262440000</v>
      </c>
      <c r="C8" s="40">
        <f>So_sanh!C8</f>
        <v>699840000</v>
      </c>
      <c r="D8" s="41" t="s">
        <v>9</v>
      </c>
      <c r="E8" s="42"/>
    </row>
    <row r="9" ht="18.0" customHeight="1">
      <c r="A9" s="39" t="s">
        <v>139</v>
      </c>
      <c r="B9" s="40">
        <f>So_sanh!B9</f>
        <v>100425000</v>
      </c>
      <c r="C9" s="40">
        <f>So_sanh!C9</f>
        <v>40170000</v>
      </c>
      <c r="D9" s="41" t="s">
        <v>9</v>
      </c>
      <c r="E9" s="42"/>
    </row>
    <row r="10" ht="18.0" customHeight="1">
      <c r="A10" s="39" t="s">
        <v>140</v>
      </c>
      <c r="B10" s="40">
        <f>So_sanh!B10</f>
        <v>132000000</v>
      </c>
      <c r="C10" s="40">
        <f>So_sanh!C10</f>
        <v>132000000</v>
      </c>
      <c r="D10" s="41" t="s">
        <v>9</v>
      </c>
      <c r="E10" s="42"/>
    </row>
    <row r="11" ht="18.0" customHeight="1">
      <c r="A11" s="39" t="s">
        <v>165</v>
      </c>
      <c r="B11" s="40">
        <f>So_sanh!B13</f>
        <v>471622500</v>
      </c>
      <c r="C11" s="40">
        <f>So_sanh!C13</f>
        <v>854793000</v>
      </c>
      <c r="D11" s="41" t="s">
        <v>9</v>
      </c>
      <c r="E11" s="42"/>
    </row>
    <row r="12" ht="18.0" customHeight="1">
      <c r="A12" s="39" t="s">
        <v>166</v>
      </c>
      <c r="B12" s="40">
        <f>So_sanh!B14</f>
        <v>1536877500</v>
      </c>
      <c r="C12" s="40">
        <f>So_sanh!C14</f>
        <v>1153707000</v>
      </c>
      <c r="D12" s="41" t="s">
        <v>9</v>
      </c>
      <c r="E12" s="42"/>
    </row>
    <row r="13" ht="18.0" customHeight="1">
      <c r="A13" s="39" t="s">
        <v>167</v>
      </c>
      <c r="B13" s="40">
        <f>So_sanh!B15</f>
        <v>261269175</v>
      </c>
      <c r="C13" s="40">
        <f>So_sanh!C15</f>
        <v>196130190</v>
      </c>
      <c r="D13" s="41" t="s">
        <v>9</v>
      </c>
      <c r="E13" s="42"/>
    </row>
    <row r="14" ht="18.0" customHeight="1">
      <c r="A14" s="39" t="s">
        <v>125</v>
      </c>
      <c r="B14" s="40">
        <f>So_sanh!B18</f>
        <v>150120000</v>
      </c>
      <c r="C14" s="40">
        <f>So_sanh!C18</f>
        <v>150120000</v>
      </c>
      <c r="D14" s="41" t="s">
        <v>9</v>
      </c>
      <c r="E14" s="42"/>
    </row>
    <row r="15" ht="18.0" customHeight="1">
      <c r="A15" s="39" t="s">
        <v>147</v>
      </c>
      <c r="B15" s="40">
        <f>So_sanh!B19</f>
        <v>147690825</v>
      </c>
      <c r="C15" s="40">
        <f>So_sanh!C19</f>
        <v>237384810</v>
      </c>
      <c r="D15" s="41" t="s">
        <v>9</v>
      </c>
      <c r="E15" s="42"/>
    </row>
    <row r="16" ht="18.0" customHeight="1">
      <c r="A16" s="39" t="s">
        <v>148</v>
      </c>
      <c r="B16" s="40">
        <f>So_sanh!B20</f>
        <v>12307568.75</v>
      </c>
      <c r="C16" s="40">
        <f>So_sanh!C20</f>
        <v>19782067.5</v>
      </c>
      <c r="D16" s="41" t="s">
        <v>9</v>
      </c>
      <c r="E16" s="42"/>
    </row>
    <row r="17" ht="18.0" customHeight="1">
      <c r="A17" s="39" t="s">
        <v>149</v>
      </c>
      <c r="B17" s="43">
        <f>So_sanh!B21</f>
        <v>0.07353289768</v>
      </c>
      <c r="C17" s="43">
        <f>So_sanh!C21</f>
        <v>0.1181900971</v>
      </c>
      <c r="D17" s="41" t="s">
        <v>17</v>
      </c>
      <c r="E17" s="42"/>
    </row>
    <row r="18" ht="18.0" customHeight="1">
      <c r="A18" s="39" t="s">
        <v>145</v>
      </c>
      <c r="B18" s="43">
        <f>So_sanh!B16</f>
        <v>0.1300817401</v>
      </c>
      <c r="C18" s="43">
        <f>So_sanh!C16</f>
        <v>0.09765008215</v>
      </c>
      <c r="D18" s="41" t="s">
        <v>17</v>
      </c>
      <c r="E18" s="42"/>
    </row>
    <row r="19" ht="18.0" customHeight="1">
      <c r="A19" s="4"/>
      <c r="B19" s="4"/>
      <c r="C19" s="4"/>
      <c r="D19" s="4"/>
      <c r="E19" s="4"/>
    </row>
    <row r="20" ht="19.5" customHeight="1">
      <c r="A20" s="37" t="s">
        <v>168</v>
      </c>
      <c r="B20" s="32"/>
      <c r="C20" s="32"/>
      <c r="D20" s="32"/>
      <c r="E20" s="35"/>
    </row>
    <row r="21" ht="18.0" customHeight="1">
      <c r="A21" s="36" t="s">
        <v>169</v>
      </c>
      <c r="B21" s="32"/>
      <c r="C21" s="32"/>
      <c r="D21" s="32"/>
      <c r="E21" s="32"/>
    </row>
    <row r="22" ht="18.0" customHeight="1">
      <c r="A22" s="38" t="s">
        <v>4</v>
      </c>
      <c r="B22" s="38" t="s">
        <v>134</v>
      </c>
      <c r="C22" s="38" t="s">
        <v>135</v>
      </c>
      <c r="D22" s="38" t="s">
        <v>6</v>
      </c>
      <c r="E22" s="38" t="s">
        <v>7</v>
      </c>
    </row>
    <row r="23" ht="18.0" customHeight="1">
      <c r="A23" s="44" t="s">
        <v>170</v>
      </c>
      <c r="B23" s="45">
        <f>(Tinh_toan!B20*(1-Dau_vao!B10*Dau_vao!B20)+Tinh_toan!B12*(1-Dau_vao!B10*Dau_vao!B11))/((1-Dau_vao!B8-Dau_vao!B23)-Dau_vao!B10*(1-Dau_vao!B24*Dau_vao!B23))</f>
        <v>1387036398</v>
      </c>
      <c r="C23" s="45">
        <f>(Tinh_toan!B21*(1-Dau_vao!B10*Dau_vao!B20)+Tinh_toan!B12*(1-Dau_vao!B10*Dau_vao!B11))/((1-Dau_vao!B9)-Dau_vao!B10)</f>
        <v>1443065000</v>
      </c>
      <c r="D23" s="41" t="s">
        <v>9</v>
      </c>
      <c r="E23" s="42" t="s">
        <v>171</v>
      </c>
    </row>
    <row r="24" ht="18.0" customHeight="1">
      <c r="A24" s="44" t="s">
        <v>172</v>
      </c>
      <c r="B24" s="46">
        <f>(So_sanh!B4-B23)/So_sanh!B4</f>
        <v>0.3094167797</v>
      </c>
      <c r="C24" s="46">
        <f>(So_sanh!B4-C23)/So_sanh!B4</f>
        <v>0.2815210356</v>
      </c>
      <c r="D24" s="41" t="s">
        <v>17</v>
      </c>
      <c r="E24" s="42"/>
    </row>
    <row r="25" ht="18.0" customHeight="1">
      <c r="A25" s="47" t="s">
        <v>173</v>
      </c>
      <c r="B25" s="48">
        <f>So_sanh!B4-B23</f>
        <v>621463601.9</v>
      </c>
      <c r="C25" s="48">
        <f>So_sanh!B4-C23</f>
        <v>565435000</v>
      </c>
      <c r="D25" s="41" t="s">
        <v>9</v>
      </c>
      <c r="E25" s="42" t="s">
        <v>174</v>
      </c>
    </row>
    <row r="26" ht="18.0" customHeight="1">
      <c r="A26" s="47" t="s">
        <v>175</v>
      </c>
      <c r="B26" s="49">
        <f>B25/So_sanh!B4</f>
        <v>0.3094167797</v>
      </c>
      <c r="C26" s="49">
        <f>C25/So_sanh!B4</f>
        <v>0.2815210356</v>
      </c>
      <c r="D26" s="41" t="s">
        <v>17</v>
      </c>
      <c r="E26" s="42"/>
    </row>
    <row r="27" ht="18.0" customHeight="1">
      <c r="A27" s="4"/>
      <c r="B27" s="4"/>
      <c r="C27" s="4"/>
      <c r="D27" s="4"/>
      <c r="E27" s="4"/>
    </row>
    <row r="28" ht="18.0" customHeight="1">
      <c r="A28" s="37" t="s">
        <v>176</v>
      </c>
      <c r="B28" s="32"/>
      <c r="C28" s="32"/>
      <c r="D28" s="32"/>
      <c r="E28" s="35"/>
    </row>
    <row r="29" ht="30.0" customHeight="1">
      <c r="A29" s="36" t="s">
        <v>177</v>
      </c>
      <c r="B29" s="32"/>
      <c r="C29" s="32"/>
      <c r="D29" s="32"/>
      <c r="E29" s="32"/>
    </row>
    <row r="30" ht="18.0" customHeight="1">
      <c r="A30" s="39" t="s">
        <v>178</v>
      </c>
      <c r="B30" s="50">
        <v>1.0E8</v>
      </c>
      <c r="C30" s="51">
        <f>B30</f>
        <v>100000000</v>
      </c>
      <c r="D30" s="41" t="s">
        <v>9</v>
      </c>
      <c r="E30" s="42" t="s">
        <v>179</v>
      </c>
    </row>
    <row r="31" ht="18.0" customHeight="1">
      <c r="A31" s="39" t="s">
        <v>180</v>
      </c>
      <c r="B31" s="40">
        <f t="shared" ref="B31:C31" si="1">B30/12</f>
        <v>8333333.333</v>
      </c>
      <c r="C31" s="40">
        <f t="shared" si="1"/>
        <v>8333333.333</v>
      </c>
      <c r="D31" s="41" t="s">
        <v>9</v>
      </c>
      <c r="E31" s="42"/>
    </row>
    <row r="32" ht="18.0" customHeight="1">
      <c r="A32" s="4"/>
      <c r="B32" s="4"/>
      <c r="C32" s="4"/>
      <c r="D32" s="4"/>
      <c r="E32" s="4"/>
    </row>
    <row r="33" ht="19.5" customHeight="1">
      <c r="A33" s="38" t="s">
        <v>181</v>
      </c>
      <c r="B33" s="38" t="s">
        <v>134</v>
      </c>
      <c r="C33" s="38" t="s">
        <v>135</v>
      </c>
      <c r="D33" s="38" t="s">
        <v>6</v>
      </c>
      <c r="E33" s="38" t="s">
        <v>182</v>
      </c>
    </row>
    <row r="34" ht="18.0" customHeight="1">
      <c r="A34" s="39" t="s">
        <v>183</v>
      </c>
      <c r="B34" s="40">
        <f>So_sanh!B13</f>
        <v>471622500</v>
      </c>
      <c r="C34" s="40">
        <f>So_sanh!C13</f>
        <v>854793000</v>
      </c>
      <c r="D34" s="41" t="s">
        <v>9</v>
      </c>
      <c r="E34" s="42" t="s">
        <v>184</v>
      </c>
    </row>
    <row r="35" ht="18.0" customHeight="1">
      <c r="A35" s="39" t="s">
        <v>185</v>
      </c>
      <c r="B35" s="40">
        <f>So_sanh!B15</f>
        <v>261269175</v>
      </c>
      <c r="C35" s="40">
        <f>So_sanh!C15</f>
        <v>196130190</v>
      </c>
      <c r="D35" s="41" t="s">
        <v>9</v>
      </c>
      <c r="E35" s="42"/>
    </row>
    <row r="36" ht="18.0" customHeight="1">
      <c r="A36" s="44" t="s">
        <v>186</v>
      </c>
      <c r="B36" s="45">
        <f>MAX(0,(So_sanh!B19-B30)/(1-Dau_vao!B10))</f>
        <v>57458825.3</v>
      </c>
      <c r="C36" s="45">
        <f>MAX(0,(So_sanh!C19-C30)/(1-Dau_vao!B10))</f>
        <v>165523867.5</v>
      </c>
      <c r="D36" s="41" t="s">
        <v>9</v>
      </c>
      <c r="E36" s="52" t="s">
        <v>187</v>
      </c>
    </row>
    <row r="37" ht="18.0" customHeight="1">
      <c r="A37" s="47" t="s">
        <v>188</v>
      </c>
      <c r="B37" s="48">
        <f>MAX(0,(So_sanh!B14-B36)*Dau_vao!B10)</f>
        <v>251501174.7</v>
      </c>
      <c r="C37" s="48">
        <f>MAX(0,(So_sanh!C14-C36)*Dau_vao!B10)</f>
        <v>167991132.5</v>
      </c>
      <c r="D37" s="41" t="s">
        <v>9</v>
      </c>
      <c r="E37" s="42"/>
    </row>
    <row r="38" ht="18.0" customHeight="1">
      <c r="A38" s="53" t="s">
        <v>189</v>
      </c>
      <c r="B38" s="54">
        <f t="shared" ref="B38:C38" si="2">B35-B37</f>
        <v>9768000.301</v>
      </c>
      <c r="C38" s="54">
        <f t="shared" si="2"/>
        <v>28139057.47</v>
      </c>
      <c r="D38" s="41" t="s">
        <v>9</v>
      </c>
      <c r="E38" s="42"/>
    </row>
    <row r="39" ht="18.0" customHeight="1">
      <c r="A39" s="4"/>
      <c r="B39" s="4"/>
      <c r="C39" s="4"/>
      <c r="D39" s="4"/>
      <c r="E39" s="4"/>
    </row>
    <row r="40" ht="18.0" customHeight="1">
      <c r="A40" s="37" t="s">
        <v>190</v>
      </c>
      <c r="B40" s="32"/>
      <c r="C40" s="32"/>
      <c r="D40" s="32"/>
      <c r="E40" s="35"/>
    </row>
    <row r="41" ht="30.0" customHeight="1">
      <c r="A41" s="36" t="s">
        <v>191</v>
      </c>
      <c r="B41" s="32"/>
      <c r="C41" s="32"/>
      <c r="D41" s="32"/>
      <c r="E41" s="32"/>
    </row>
    <row r="42" ht="18.0" customHeight="1">
      <c r="A42" s="38" t="s">
        <v>192</v>
      </c>
      <c r="B42" s="38" t="s">
        <v>193</v>
      </c>
      <c r="C42" s="38" t="s">
        <v>194</v>
      </c>
      <c r="D42" s="38" t="s">
        <v>195</v>
      </c>
      <c r="E42" s="38" t="s">
        <v>196</v>
      </c>
    </row>
    <row r="43" ht="18.0" customHeight="1">
      <c r="A43" s="39" t="s">
        <v>197</v>
      </c>
      <c r="B43" s="55">
        <v>0.2</v>
      </c>
      <c r="C43" s="55">
        <v>0.2</v>
      </c>
      <c r="D43" s="42" t="s">
        <v>198</v>
      </c>
      <c r="E43" s="42" t="s">
        <v>199</v>
      </c>
    </row>
    <row r="44" ht="18.0" customHeight="1">
      <c r="A44" s="39" t="s">
        <v>200</v>
      </c>
      <c r="B44" s="55">
        <v>0.25</v>
      </c>
      <c r="C44" s="55">
        <v>0.25</v>
      </c>
      <c r="D44" s="42" t="s">
        <v>201</v>
      </c>
      <c r="E44" s="42" t="s">
        <v>202</v>
      </c>
    </row>
    <row r="45" ht="18.0" customHeight="1">
      <c r="A45" s="39" t="s">
        <v>203</v>
      </c>
      <c r="B45" s="55">
        <v>0.15</v>
      </c>
      <c r="C45" s="55">
        <v>0.15</v>
      </c>
      <c r="D45" s="42" t="s">
        <v>204</v>
      </c>
      <c r="E45" s="42" t="s">
        <v>205</v>
      </c>
    </row>
    <row r="46" ht="18.0" customHeight="1">
      <c r="A46" s="39" t="s">
        <v>206</v>
      </c>
      <c r="B46" s="55">
        <v>0.2</v>
      </c>
      <c r="C46" s="55">
        <v>0.25</v>
      </c>
      <c r="D46" s="42" t="s">
        <v>207</v>
      </c>
      <c r="E46" s="42" t="s">
        <v>208</v>
      </c>
    </row>
    <row r="47" ht="18.0" customHeight="1">
      <c r="A47" s="39" t="s">
        <v>209</v>
      </c>
      <c r="B47" s="55">
        <v>0.1</v>
      </c>
      <c r="C47" s="55">
        <v>0.1</v>
      </c>
      <c r="D47" s="42" t="s">
        <v>210</v>
      </c>
      <c r="E47" s="42" t="s">
        <v>211</v>
      </c>
    </row>
    <row r="48" ht="18.0" customHeight="1">
      <c r="A48" s="39" t="s">
        <v>212</v>
      </c>
      <c r="B48" s="55">
        <v>0.1</v>
      </c>
      <c r="C48" s="55">
        <v>0.05</v>
      </c>
      <c r="D48" s="42" t="s">
        <v>213</v>
      </c>
      <c r="E48" s="42" t="s">
        <v>214</v>
      </c>
    </row>
    <row r="49" ht="18.0" customHeight="1">
      <c r="A49" s="56" t="s">
        <v>215</v>
      </c>
      <c r="B49" s="57">
        <f t="shared" ref="B49:C49" si="3">SUM(B43:B48)</f>
        <v>1</v>
      </c>
      <c r="C49" s="57">
        <f t="shared" si="3"/>
        <v>1</v>
      </c>
      <c r="D49" s="41"/>
      <c r="E49" s="56" t="str">
        <f>IF(AND(B49=1,C49=1),"✓ Hợp lệ","⚠ Kiểm tra lại tổng %")</f>
        <v>✓ Hợp lệ</v>
      </c>
    </row>
    <row r="50" ht="18.0" customHeight="1">
      <c r="A50" s="4"/>
      <c r="B50" s="4"/>
      <c r="C50" s="4"/>
      <c r="D50" s="4"/>
      <c r="E50" s="4"/>
    </row>
    <row r="51" ht="18.0" customHeight="1">
      <c r="A51" s="37" t="s">
        <v>216</v>
      </c>
      <c r="B51" s="32"/>
      <c r="C51" s="32"/>
      <c r="D51" s="32"/>
      <c r="E51" s="35"/>
    </row>
    <row r="52" ht="18.0" customHeight="1">
      <c r="A52" s="38" t="s">
        <v>192</v>
      </c>
      <c r="B52" s="38" t="s">
        <v>217</v>
      </c>
      <c r="C52" s="38" t="s">
        <v>218</v>
      </c>
      <c r="D52" s="38" t="s">
        <v>219</v>
      </c>
      <c r="E52" s="38" t="s">
        <v>220</v>
      </c>
    </row>
    <row r="53" ht="18.0" customHeight="1">
      <c r="A53" s="39" t="s">
        <v>197</v>
      </c>
      <c r="B53" s="40">
        <f t="shared" ref="B53:C53" si="4">B36*B43</f>
        <v>11491765.06</v>
      </c>
      <c r="C53" s="40">
        <f t="shared" si="4"/>
        <v>33104773.49</v>
      </c>
      <c r="D53" s="40">
        <f t="shared" ref="D53:E53" si="5">B53/12</f>
        <v>957647.0884</v>
      </c>
      <c r="E53" s="40">
        <f t="shared" si="5"/>
        <v>2758731.124</v>
      </c>
    </row>
    <row r="54" ht="18.0" customHeight="1">
      <c r="A54" s="39" t="s">
        <v>200</v>
      </c>
      <c r="B54" s="40">
        <f t="shared" ref="B54:C54" si="6">B36*B44</f>
        <v>14364706.33</v>
      </c>
      <c r="C54" s="40">
        <f t="shared" si="6"/>
        <v>41380966.87</v>
      </c>
      <c r="D54" s="40">
        <f t="shared" ref="D54:E54" si="7">B54/12</f>
        <v>1197058.86</v>
      </c>
      <c r="E54" s="40">
        <f t="shared" si="7"/>
        <v>3448413.906</v>
      </c>
    </row>
    <row r="55" ht="18.0" customHeight="1">
      <c r="A55" s="39" t="s">
        <v>203</v>
      </c>
      <c r="B55" s="40">
        <f t="shared" ref="B55:C55" si="8">B36*B45</f>
        <v>8618823.795</v>
      </c>
      <c r="C55" s="40">
        <f t="shared" si="8"/>
        <v>24828580.12</v>
      </c>
      <c r="D55" s="40">
        <f t="shared" ref="D55:E55" si="9">B55/12</f>
        <v>718235.3163</v>
      </c>
      <c r="E55" s="40">
        <f t="shared" si="9"/>
        <v>2069048.343</v>
      </c>
    </row>
    <row r="56" ht="18.0" customHeight="1">
      <c r="A56" s="39" t="s">
        <v>206</v>
      </c>
      <c r="B56" s="40">
        <f t="shared" ref="B56:C56" si="10">B36*B46</f>
        <v>11491765.06</v>
      </c>
      <c r="C56" s="40">
        <f t="shared" si="10"/>
        <v>41380966.87</v>
      </c>
      <c r="D56" s="40">
        <f t="shared" ref="D56:E56" si="11">B56/12</f>
        <v>957647.0884</v>
      </c>
      <c r="E56" s="40">
        <f t="shared" si="11"/>
        <v>3448413.906</v>
      </c>
    </row>
    <row r="57" ht="18.0" customHeight="1">
      <c r="A57" s="39" t="s">
        <v>209</v>
      </c>
      <c r="B57" s="40">
        <f t="shared" ref="B57:C57" si="12">B36*B47</f>
        <v>5745882.53</v>
      </c>
      <c r="C57" s="40">
        <f t="shared" si="12"/>
        <v>16552386.75</v>
      </c>
      <c r="D57" s="40">
        <f t="shared" ref="D57:E57" si="13">B57/12</f>
        <v>478823.5442</v>
      </c>
      <c r="E57" s="40">
        <f t="shared" si="13"/>
        <v>1379365.562</v>
      </c>
    </row>
    <row r="58" ht="18.0" customHeight="1">
      <c r="A58" s="39" t="s">
        <v>212</v>
      </c>
      <c r="B58" s="40">
        <f t="shared" ref="B58:C58" si="14">B36*B48</f>
        <v>5745882.53</v>
      </c>
      <c r="C58" s="40">
        <f t="shared" si="14"/>
        <v>8276193.373</v>
      </c>
      <c r="D58" s="40">
        <f t="shared" ref="D58:E58" si="15">B58/12</f>
        <v>478823.5442</v>
      </c>
      <c r="E58" s="40">
        <f t="shared" si="15"/>
        <v>689682.7811</v>
      </c>
    </row>
    <row r="59" ht="18.0" customHeight="1">
      <c r="A59" s="56" t="s">
        <v>40</v>
      </c>
      <c r="B59" s="58">
        <f t="shared" ref="B59:C59" si="16">SUM(B53:B58)</f>
        <v>57458825.3</v>
      </c>
      <c r="C59" s="58">
        <f t="shared" si="16"/>
        <v>165523867.5</v>
      </c>
      <c r="D59" s="58">
        <f t="shared" ref="D59:E59" si="17">B59/12</f>
        <v>4788235.442</v>
      </c>
      <c r="E59" s="58">
        <f t="shared" si="17"/>
        <v>13793655.62</v>
      </c>
    </row>
    <row r="60" ht="18.0" customHeight="1">
      <c r="A60" s="4"/>
      <c r="B60" s="4"/>
      <c r="C60" s="4"/>
      <c r="D60" s="4"/>
      <c r="E60" s="4"/>
    </row>
    <row r="61" ht="18.0" customHeight="1">
      <c r="A61" s="37" t="s">
        <v>221</v>
      </c>
      <c r="B61" s="32"/>
      <c r="C61" s="32"/>
      <c r="D61" s="32"/>
      <c r="E61" s="35"/>
    </row>
    <row r="62" ht="18.0" customHeight="1">
      <c r="A62" s="38" t="s">
        <v>4</v>
      </c>
      <c r="B62" s="38" t="s">
        <v>222</v>
      </c>
      <c r="C62" s="38" t="s">
        <v>223</v>
      </c>
      <c r="D62" s="38" t="s">
        <v>224</v>
      </c>
      <c r="E62" s="38" t="s">
        <v>225</v>
      </c>
    </row>
    <row r="63" ht="18.0" customHeight="1">
      <c r="A63" s="39" t="s">
        <v>144</v>
      </c>
      <c r="B63" s="40">
        <f>So_sanh!B14</f>
        <v>1536877500</v>
      </c>
      <c r="C63" s="48">
        <f>So_sanh!B14-B36</f>
        <v>1479418675</v>
      </c>
      <c r="D63" s="40">
        <f>So_sanh!C14</f>
        <v>1153707000</v>
      </c>
      <c r="E63" s="48">
        <f>So_sanh!C14-C36</f>
        <v>988183132.5</v>
      </c>
    </row>
    <row r="64" ht="18.0" customHeight="1">
      <c r="A64" s="39" t="s">
        <v>167</v>
      </c>
      <c r="B64" s="40">
        <f>So_sanh!B15</f>
        <v>261269175</v>
      </c>
      <c r="C64" s="48">
        <f t="shared" ref="C64:C65" si="18">B37</f>
        <v>251501174.7</v>
      </c>
      <c r="D64" s="40">
        <f>So_sanh!C15</f>
        <v>196130190</v>
      </c>
      <c r="E64" s="48">
        <f t="shared" ref="E64:E65" si="19">C37</f>
        <v>167991132.5</v>
      </c>
    </row>
    <row r="65" ht="18.0" customHeight="1">
      <c r="A65" s="39" t="s">
        <v>226</v>
      </c>
      <c r="B65" s="59" t="s">
        <v>57</v>
      </c>
      <c r="C65" s="54">
        <f t="shared" si="18"/>
        <v>9768000.301</v>
      </c>
      <c r="D65" s="59" t="s">
        <v>57</v>
      </c>
      <c r="E65" s="54">
        <f t="shared" si="19"/>
        <v>28139057.47</v>
      </c>
    </row>
    <row r="66" ht="18.0" customHeight="1">
      <c r="A66" s="39" t="s">
        <v>147</v>
      </c>
      <c r="B66" s="40">
        <f>So_sanh!B19</f>
        <v>147690825</v>
      </c>
      <c r="C66" s="54">
        <f t="shared" ref="C66:C67" si="20">B30</f>
        <v>100000000</v>
      </c>
      <c r="D66" s="40">
        <f>So_sanh!C19</f>
        <v>237384810</v>
      </c>
      <c r="E66" s="54">
        <f t="shared" ref="E66:E67" si="21">C30</f>
        <v>100000000</v>
      </c>
    </row>
    <row r="67" ht="18.0" customHeight="1">
      <c r="A67" s="39" t="s">
        <v>227</v>
      </c>
      <c r="B67" s="40">
        <f>So_sanh!B20</f>
        <v>12307568.75</v>
      </c>
      <c r="C67" s="54">
        <f t="shared" si="20"/>
        <v>8333333.333</v>
      </c>
      <c r="D67" s="40">
        <f>So_sanh!C20</f>
        <v>19782067.5</v>
      </c>
      <c r="E67" s="54">
        <f t="shared" si="21"/>
        <v>8333333.333</v>
      </c>
    </row>
    <row r="68" ht="18.0" customHeight="1">
      <c r="A68" s="39" t="s">
        <v>149</v>
      </c>
      <c r="B68" s="43">
        <f>So_sanh!B21</f>
        <v>0.07353289768</v>
      </c>
      <c r="C68" s="60">
        <f>B30/So_sanh!B4</f>
        <v>0.0497883993</v>
      </c>
      <c r="D68" s="43">
        <f>So_sanh!C21</f>
        <v>0.1181900971</v>
      </c>
      <c r="E68" s="60">
        <f>C30/So_sanh!B4</f>
        <v>0.0497883993</v>
      </c>
    </row>
    <row r="69" ht="18.0" customHeight="1">
      <c r="A69" s="39" t="s">
        <v>145</v>
      </c>
      <c r="B69" s="43">
        <f>So_sanh!B16</f>
        <v>0.1300817401</v>
      </c>
      <c r="C69" s="49">
        <f>B37/So_sanh!B4</f>
        <v>0.1252184091</v>
      </c>
      <c r="D69" s="43">
        <f>So_sanh!C16</f>
        <v>0.09765008215</v>
      </c>
      <c r="E69" s="49">
        <f>C37/So_sanh!B4</f>
        <v>0.08364009586</v>
      </c>
    </row>
    <row r="70" ht="15.75" customHeight="1">
      <c r="A70" s="4"/>
      <c r="B70" s="4"/>
      <c r="C70" s="4"/>
      <c r="D70" s="4"/>
      <c r="E70" s="4"/>
    </row>
    <row r="71" ht="15.0" customHeight="1">
      <c r="A71" s="37" t="s">
        <v>228</v>
      </c>
      <c r="B71" s="32"/>
      <c r="C71" s="32"/>
      <c r="D71" s="32"/>
      <c r="E71" s="35"/>
    </row>
    <row r="72" ht="15.75" customHeight="1">
      <c r="A72" s="36" t="s">
        <v>229</v>
      </c>
      <c r="B72" s="32"/>
      <c r="C72" s="32"/>
      <c r="D72" s="32"/>
      <c r="E72" s="32"/>
    </row>
    <row r="73" ht="15.75" customHeight="1">
      <c r="A73" s="36" t="s">
        <v>230</v>
      </c>
      <c r="B73" s="32"/>
      <c r="C73" s="32"/>
      <c r="D73" s="32"/>
      <c r="E73" s="32"/>
    </row>
    <row r="74" ht="15.75" customHeight="1">
      <c r="A74" s="36" t="s">
        <v>231</v>
      </c>
      <c r="B74" s="32"/>
      <c r="C74" s="32"/>
      <c r="D74" s="32"/>
      <c r="E74" s="32"/>
    </row>
    <row r="75" ht="15.75" customHeight="1">
      <c r="A75" s="36" t="s">
        <v>232</v>
      </c>
      <c r="B75" s="32"/>
      <c r="C75" s="32"/>
      <c r="D75" s="32"/>
      <c r="E75" s="32"/>
    </row>
    <row r="76" ht="15.75" customHeight="1">
      <c r="A76" s="36" t="s">
        <v>233</v>
      </c>
      <c r="B76" s="32"/>
      <c r="C76" s="32"/>
      <c r="D76" s="32"/>
      <c r="E76" s="32"/>
    </row>
    <row r="77" ht="15.75" customHeight="1">
      <c r="A77" s="36" t="s">
        <v>234</v>
      </c>
      <c r="B77" s="32"/>
      <c r="C77" s="32"/>
      <c r="D77" s="32"/>
      <c r="E77" s="32"/>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18">
    <mergeCell ref="A1:E1"/>
    <mergeCell ref="A2:E2"/>
    <mergeCell ref="A4:E4"/>
    <mergeCell ref="A20:E20"/>
    <mergeCell ref="A21:E21"/>
    <mergeCell ref="A28:E28"/>
    <mergeCell ref="A29:E29"/>
    <mergeCell ref="A74:E74"/>
    <mergeCell ref="A75:E75"/>
    <mergeCell ref="A76:E76"/>
    <mergeCell ref="A77:E77"/>
    <mergeCell ref="A40:E40"/>
    <mergeCell ref="A41:E41"/>
    <mergeCell ref="A51:E51"/>
    <mergeCell ref="A61:E61"/>
    <mergeCell ref="A71:E71"/>
    <mergeCell ref="A72:E72"/>
    <mergeCell ref="A73:E73"/>
  </mergeCells>
  <printOptions/>
  <pageMargins bottom="1.0" footer="0.0" header="0.0" left="0.75" right="0.75" top="1.0"/>
  <pageSetup paperSize="9" orientation="portrait"/>
  <drawing r:id="rId1"/>
</worksheet>
</file>